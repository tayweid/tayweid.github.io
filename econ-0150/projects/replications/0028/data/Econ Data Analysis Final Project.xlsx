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KYLE\Econ Data Analysis\"/>
    </mc:Choice>
  </mc:AlternateContent>
  <xr:revisionPtr revIDLastSave="0" documentId="8_{F6D67CF1-7CA2-42FF-8BDB-E94BC109EABD}" xr6:coauthVersionLast="47" xr6:coauthVersionMax="47" xr10:uidLastSave="{00000000-0000-0000-0000-000000000000}"/>
  <bookViews>
    <workbookView xWindow="-110" yWindow="-110" windowWidth="19420" windowHeight="11500" xr2:uid="{3510A001-1D64-456C-9CEA-73A1282B3B49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45954.7405787037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 a="1"/>
  <c r="Q14" i="1" s="1"/>
  <c r="D154" i="1"/>
  <c r="E154" i="1"/>
  <c r="D155" i="1"/>
  <c r="E155" i="1"/>
  <c r="D156" i="1"/>
  <c r="E156" i="1"/>
  <c r="D157" i="1"/>
  <c r="E157" i="1"/>
  <c r="Q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<sst xmlns="http://schemas.openxmlformats.org/spreadsheetml/2006/main" count="161" uniqueCount="41">
  <si>
    <t>Linear</t>
  </si>
  <si>
    <t>Year</t>
  </si>
  <si>
    <t>Team</t>
  </si>
  <si>
    <t>Total Salary</t>
  </si>
  <si>
    <t>Win Percentage</t>
  </si>
  <si>
    <t>Additional Measure</t>
  </si>
  <si>
    <t>Angels</t>
  </si>
  <si>
    <t>Astros</t>
  </si>
  <si>
    <t>Athletics</t>
  </si>
  <si>
    <t>Blue Jays</t>
  </si>
  <si>
    <t>Braves</t>
  </si>
  <si>
    <t>Brewers</t>
  </si>
  <si>
    <t>Cardinals</t>
  </si>
  <si>
    <t>Cubs</t>
  </si>
  <si>
    <t>Diamondbacks</t>
  </si>
  <si>
    <t>Dodgers</t>
  </si>
  <si>
    <t>Giants</t>
  </si>
  <si>
    <t>Guardians</t>
  </si>
  <si>
    <t>Mariners</t>
  </si>
  <si>
    <t>Marlins</t>
  </si>
  <si>
    <t>Mets</t>
  </si>
  <si>
    <t>Nationals</t>
  </si>
  <si>
    <t>Orioles</t>
  </si>
  <si>
    <t>Padres</t>
  </si>
  <si>
    <t>Phillies</t>
  </si>
  <si>
    <t>Logarithmic</t>
  </si>
  <si>
    <t>Pirates</t>
  </si>
  <si>
    <t>Rangers</t>
  </si>
  <si>
    <t>Rays</t>
  </si>
  <si>
    <t>Red Sox</t>
  </si>
  <si>
    <t>Reds</t>
  </si>
  <si>
    <t>Rockies</t>
  </si>
  <si>
    <t>Royals</t>
  </si>
  <si>
    <t>Tigers</t>
  </si>
  <si>
    <t>Twins</t>
  </si>
  <si>
    <t>White Sox</t>
  </si>
  <si>
    <t>Yankees</t>
  </si>
  <si>
    <t>avg</t>
  </si>
  <si>
    <t>min</t>
  </si>
  <si>
    <t>max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</si>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</sst>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000000"/>
    <numFmt numFmtId="165" formatCode="0.0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1" fontId="0" fillId="0" borderId="0" xfId="42" applyNumberFormat="1" applyFont="1"/>
    <xf numFmtId="1" fontId="1" fillId="0" borderId="12" xfId="42" applyNumberFormat="1" applyFont="1" applyBorder="1"/>
    <xf numFmtId="1" fontId="18" fillId="0" borderId="10" xfId="42" applyNumberFormat="1" applyFont="1" applyFill="1" applyBorder="1" applyAlignment="1">
      <alignment horizontal="right"/>
    </xf>
    <xf numFmtId="1" fontId="18" fillId="0" borderId="10" xfId="42" applyNumberFormat="1" applyFont="1" applyFill="1" applyBorder="1" applyAlignment="1">
      <alignment horizontal="right" vertical="center" wrapText="1"/>
    </xf>
    <xf numFmtId="1" fontId="18" fillId="0" borderId="10" xfId="0" applyNumberFormat="1" applyFont="1" applyBorder="1" applyAlignment="1">
      <alignment horizontal="right"/>
    </xf>
    <xf numFmtId="1" fontId="18" fillId="0" borderId="10" xfId="0" applyNumberFormat="1" applyFont="1" applyBorder="1" applyAlignment="1">
      <alignment horizontal="right" vertical="center" wrapText="1"/>
    </xf>
    <xf numFmtId="1" fontId="0" fillId="0" borderId="0" xfId="42" applyNumberFormat="1" applyFont="1" applyBorder="1"/>
    <xf numFmtId="164" fontId="0" fillId="0" borderId="0" xfId="0" applyNumberFormat="1"/>
    <xf numFmtId="165" fontId="0" fillId="0" borderId="0" xfId="42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Total Salary vs Win Percentage</a:t>
            </a:r>
          </a:p>
        </c:rich>
      </c:tx>
      <c:layout>
        <c:manualLayout>
          <c:xMode val="edge"/>
          <c:yMode val="edge"/>
          <c:x val="0.13498227203256002"/>
          <c:y val="4.3798268623403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75000"/>
                </a:schemeClr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81689381969661E-3"/>
                  <c:y val="-0.251826939590806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8898677798794662E-2"/>
                  <c:y val="-0.1888012310417297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aseline="0"/>
                      <a:t>y = 5E-10x + 0.4239</a:t>
                    </a:r>
                    <a:endParaRPr lang="en-US" sz="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Sheet1!$C$2:$C$151</c:f>
              <c:numCache>
                <c:formatCode>0</c:formatCode>
                <c:ptCount val="150"/>
                <c:pt idx="0">
                  <c:v>208420995</c:v>
                </c:pt>
                <c:pt idx="1">
                  <c:v>232140003</c:v>
                </c:pt>
                <c:pt idx="2">
                  <c:v>78384241</c:v>
                </c:pt>
                <c:pt idx="3">
                  <c:v>255230406</c:v>
                </c:pt>
                <c:pt idx="4">
                  <c:v>220223651</c:v>
                </c:pt>
                <c:pt idx="5">
                  <c:v>137618720</c:v>
                </c:pt>
                <c:pt idx="6">
                  <c:v>131152698</c:v>
                </c:pt>
                <c:pt idx="7">
                  <c:v>214020073</c:v>
                </c:pt>
                <c:pt idx="8">
                  <c:v>177424443</c:v>
                </c:pt>
                <c:pt idx="9">
                  <c:v>350024106</c:v>
                </c:pt>
                <c:pt idx="10">
                  <c:v>178562152</c:v>
                </c:pt>
                <c:pt idx="11">
                  <c:v>100265946</c:v>
                </c:pt>
                <c:pt idx="12">
                  <c:v>165596493</c:v>
                </c:pt>
                <c:pt idx="13">
                  <c:v>67794627</c:v>
                </c:pt>
                <c:pt idx="14">
                  <c:v>342303011</c:v>
                </c:pt>
                <c:pt idx="15">
                  <c:v>109465924</c:v>
                </c:pt>
                <c:pt idx="16">
                  <c:v>158571377</c:v>
                </c:pt>
                <c:pt idx="17">
                  <c:v>223125239</c:v>
                </c:pt>
                <c:pt idx="18">
                  <c:v>293240191</c:v>
                </c:pt>
                <c:pt idx="19">
                  <c:v>84423338</c:v>
                </c:pt>
                <c:pt idx="20">
                  <c:v>226526491</c:v>
                </c:pt>
                <c:pt idx="21">
                  <c:v>88629788</c:v>
                </c:pt>
                <c:pt idx="22">
                  <c:v>203658855</c:v>
                </c:pt>
                <c:pt idx="23">
                  <c:v>119036486</c:v>
                </c:pt>
                <c:pt idx="24">
                  <c:v>127325786</c:v>
                </c:pt>
                <c:pt idx="25">
                  <c:v>133630058</c:v>
                </c:pt>
                <c:pt idx="26">
                  <c:v>157542361</c:v>
                </c:pt>
                <c:pt idx="27">
                  <c:v>129650732</c:v>
                </c:pt>
                <c:pt idx="28">
                  <c:v>79960763</c:v>
                </c:pt>
                <c:pt idx="29">
                  <c:v>304091683</c:v>
                </c:pt>
                <c:pt idx="30">
                  <c:v>171986921</c:v>
                </c:pt>
                <c:pt idx="31">
                  <c:v>248670553</c:v>
                </c:pt>
                <c:pt idx="32">
                  <c:v>63503127</c:v>
                </c:pt>
                <c:pt idx="33">
                  <c:v>219180044</c:v>
                </c:pt>
                <c:pt idx="34">
                  <c:v>238108491</c:v>
                </c:pt>
                <c:pt idx="35">
                  <c:v>124643685</c:v>
                </c:pt>
                <c:pt idx="36">
                  <c:v>179440274</c:v>
                </c:pt>
                <c:pt idx="37">
                  <c:v>231700554</c:v>
                </c:pt>
                <c:pt idx="38">
                  <c:v>178427194</c:v>
                </c:pt>
                <c:pt idx="39">
                  <c:v>266640208</c:v>
                </c:pt>
                <c:pt idx="40">
                  <c:v>207092069</c:v>
                </c:pt>
                <c:pt idx="41">
                  <c:v>107113214</c:v>
                </c:pt>
                <c:pt idx="42">
                  <c:v>149346087</c:v>
                </c:pt>
                <c:pt idx="43">
                  <c:v>97569865</c:v>
                </c:pt>
                <c:pt idx="44">
                  <c:v>322960494</c:v>
                </c:pt>
                <c:pt idx="45">
                  <c:v>107128130</c:v>
                </c:pt>
                <c:pt idx="46">
                  <c:v>111309008</c:v>
                </c:pt>
                <c:pt idx="47">
                  <c:v>172855090</c:v>
                </c:pt>
                <c:pt idx="48">
                  <c:v>244253627</c:v>
                </c:pt>
                <c:pt idx="49">
                  <c:v>85405037</c:v>
                </c:pt>
                <c:pt idx="50">
                  <c:v>227545408</c:v>
                </c:pt>
                <c:pt idx="51">
                  <c:v>89852001</c:v>
                </c:pt>
                <c:pt idx="52">
                  <c:v>190176844</c:v>
                </c:pt>
                <c:pt idx="53">
                  <c:v>102298823</c:v>
                </c:pt>
                <c:pt idx="54">
                  <c:v>147506521</c:v>
                </c:pt>
                <c:pt idx="55">
                  <c:v>125570914</c:v>
                </c:pt>
                <c:pt idx="56">
                  <c:v>98607894</c:v>
                </c:pt>
                <c:pt idx="57">
                  <c:v>131225880</c:v>
                </c:pt>
                <c:pt idx="58">
                  <c:v>142916866</c:v>
                </c:pt>
                <c:pt idx="59">
                  <c:v>315616982</c:v>
                </c:pt>
                <c:pt idx="60">
                  <c:v>230534276</c:v>
                </c:pt>
                <c:pt idx="61">
                  <c:v>237107748</c:v>
                </c:pt>
                <c:pt idx="62">
                  <c:v>62258711</c:v>
                </c:pt>
                <c:pt idx="63">
                  <c:v>214916600</c:v>
                </c:pt>
                <c:pt idx="64">
                  <c:v>206424932</c:v>
                </c:pt>
                <c:pt idx="65">
                  <c:v>129339624</c:v>
                </c:pt>
                <c:pt idx="66">
                  <c:v>153793028</c:v>
                </c:pt>
                <c:pt idx="67">
                  <c:v>189869996</c:v>
                </c:pt>
                <c:pt idx="68">
                  <c:v>119296377</c:v>
                </c:pt>
                <c:pt idx="69">
                  <c:v>235747111</c:v>
                </c:pt>
                <c:pt idx="70">
                  <c:v>189413646</c:v>
                </c:pt>
                <c:pt idx="71">
                  <c:v>92103949</c:v>
                </c:pt>
                <c:pt idx="72">
                  <c:v>127993987</c:v>
                </c:pt>
                <c:pt idx="73">
                  <c:v>105435809</c:v>
                </c:pt>
                <c:pt idx="74">
                  <c:v>347949991</c:v>
                </c:pt>
                <c:pt idx="75">
                  <c:v>93383875</c:v>
                </c:pt>
                <c:pt idx="76">
                  <c:v>71064917</c:v>
                </c:pt>
                <c:pt idx="77">
                  <c:v>256049558</c:v>
                </c:pt>
                <c:pt idx="78">
                  <c:v>245410961</c:v>
                </c:pt>
                <c:pt idx="79">
                  <c:v>75734681</c:v>
                </c:pt>
                <c:pt idx="80">
                  <c:v>251332754</c:v>
                </c:pt>
                <c:pt idx="81">
                  <c:v>79354272</c:v>
                </c:pt>
                <c:pt idx="82">
                  <c:v>182930664</c:v>
                </c:pt>
                <c:pt idx="83">
                  <c:v>95731662</c:v>
                </c:pt>
                <c:pt idx="84">
                  <c:v>171240555</c:v>
                </c:pt>
                <c:pt idx="85">
                  <c:v>96083853</c:v>
                </c:pt>
                <c:pt idx="86">
                  <c:v>121474919</c:v>
                </c:pt>
                <c:pt idx="87">
                  <c:v>156104540</c:v>
                </c:pt>
                <c:pt idx="88">
                  <c:v>162867704</c:v>
                </c:pt>
                <c:pt idx="89">
                  <c:v>278747922</c:v>
                </c:pt>
                <c:pt idx="90">
                  <c:v>179877811</c:v>
                </c:pt>
                <c:pt idx="91">
                  <c:v>183791796</c:v>
                </c:pt>
                <c:pt idx="92">
                  <c:v>48443900</c:v>
                </c:pt>
                <c:pt idx="93">
                  <c:v>177287681</c:v>
                </c:pt>
                <c:pt idx="94">
                  <c:v>179935585</c:v>
                </c:pt>
                <c:pt idx="95">
                  <c:v>133086663</c:v>
                </c:pt>
                <c:pt idx="96">
                  <c:v>156428325</c:v>
                </c:pt>
                <c:pt idx="97">
                  <c:v>151054737</c:v>
                </c:pt>
                <c:pt idx="98">
                  <c:v>85966193</c:v>
                </c:pt>
                <c:pt idx="99">
                  <c:v>264996019</c:v>
                </c:pt>
                <c:pt idx="100">
                  <c:v>162453046</c:v>
                </c:pt>
                <c:pt idx="101">
                  <c:v>66717694</c:v>
                </c:pt>
                <c:pt idx="102">
                  <c:v>113926407</c:v>
                </c:pt>
                <c:pt idx="103">
                  <c:v>88452043</c:v>
                </c:pt>
                <c:pt idx="104">
                  <c:v>266670327</c:v>
                </c:pt>
                <c:pt idx="105">
                  <c:v>126782278</c:v>
                </c:pt>
                <c:pt idx="106">
                  <c:v>44888388</c:v>
                </c:pt>
                <c:pt idx="107">
                  <c:v>224492122</c:v>
                </c:pt>
                <c:pt idx="108">
                  <c:v>244458518</c:v>
                </c:pt>
                <c:pt idx="109">
                  <c:v>56197847</c:v>
                </c:pt>
                <c:pt idx="110">
                  <c:v>150035993</c:v>
                </c:pt>
                <c:pt idx="111">
                  <c:v>98342073</c:v>
                </c:pt>
                <c:pt idx="112">
                  <c:v>211808993</c:v>
                </c:pt>
                <c:pt idx="113">
                  <c:v>115417321</c:v>
                </c:pt>
                <c:pt idx="114">
                  <c:v>140072825</c:v>
                </c:pt>
                <c:pt idx="115">
                  <c:v>92613711</c:v>
                </c:pt>
                <c:pt idx="116">
                  <c:v>136248620</c:v>
                </c:pt>
                <c:pt idx="117">
                  <c:v>150363491</c:v>
                </c:pt>
                <c:pt idx="118">
                  <c:v>203203922</c:v>
                </c:pt>
                <c:pt idx="119">
                  <c:v>252957200</c:v>
                </c:pt>
                <c:pt idx="120">
                  <c:v>183849560</c:v>
                </c:pt>
                <c:pt idx="121">
                  <c:v>194222042</c:v>
                </c:pt>
                <c:pt idx="122">
                  <c:v>90400598</c:v>
                </c:pt>
                <c:pt idx="123">
                  <c:v>150140253</c:v>
                </c:pt>
                <c:pt idx="124">
                  <c:v>152753755</c:v>
                </c:pt>
                <c:pt idx="125">
                  <c:v>99377415</c:v>
                </c:pt>
                <c:pt idx="126">
                  <c:v>151469994</c:v>
                </c:pt>
                <c:pt idx="127">
                  <c:v>144040237</c:v>
                </c:pt>
                <c:pt idx="128">
                  <c:v>91636935</c:v>
                </c:pt>
                <c:pt idx="129">
                  <c:v>261320507</c:v>
                </c:pt>
                <c:pt idx="130">
                  <c:v>171890308</c:v>
                </c:pt>
                <c:pt idx="131">
                  <c:v>50670534</c:v>
                </c:pt>
                <c:pt idx="132">
                  <c:v>83822113</c:v>
                </c:pt>
                <c:pt idx="133">
                  <c:v>58157900</c:v>
                </c:pt>
                <c:pt idx="134">
                  <c:v>201189189</c:v>
                </c:pt>
                <c:pt idx="135">
                  <c:v>144023139</c:v>
                </c:pt>
                <c:pt idx="136">
                  <c:v>42421870</c:v>
                </c:pt>
                <c:pt idx="137">
                  <c:v>179767122</c:v>
                </c:pt>
                <c:pt idx="138">
                  <c:v>190519366</c:v>
                </c:pt>
                <c:pt idx="139">
                  <c:v>54356609</c:v>
                </c:pt>
                <c:pt idx="140">
                  <c:v>95791911</c:v>
                </c:pt>
                <c:pt idx="141">
                  <c:v>70836327</c:v>
                </c:pt>
                <c:pt idx="142">
                  <c:v>187100784</c:v>
                </c:pt>
                <c:pt idx="143">
                  <c:v>126608690</c:v>
                </c:pt>
                <c:pt idx="144">
                  <c:v>116285650</c:v>
                </c:pt>
                <c:pt idx="145">
                  <c:v>91595545</c:v>
                </c:pt>
                <c:pt idx="146">
                  <c:v>86348945</c:v>
                </c:pt>
                <c:pt idx="147">
                  <c:v>121417939</c:v>
                </c:pt>
                <c:pt idx="148">
                  <c:v>140926169</c:v>
                </c:pt>
                <c:pt idx="149">
                  <c:v>205669863</c:v>
                </c:pt>
              </c:numCache>
            </c:numRef>
          </c:xVal>
          <c:yVal>
            <c:numRef>
              <c:f>Sheet1!$D$2:$D$151</c:f>
              <c:numCache>
                <c:formatCode>General</c:formatCode>
                <c:ptCount val="150"/>
                <c:pt idx="0">
                  <c:v>0.44400000000000001</c:v>
                </c:pt>
                <c:pt idx="1">
                  <c:v>0.53700000000000003</c:v>
                </c:pt>
                <c:pt idx="2">
                  <c:v>0.46899999999999997</c:v>
                </c:pt>
                <c:pt idx="3">
                  <c:v>0.57999999999999996</c:v>
                </c:pt>
                <c:pt idx="4">
                  <c:v>0.46899999999999997</c:v>
                </c:pt>
                <c:pt idx="5">
                  <c:v>0.59899999999999998</c:v>
                </c:pt>
                <c:pt idx="6">
                  <c:v>0.48099999999999998</c:v>
                </c:pt>
                <c:pt idx="7">
                  <c:v>0.56799999999999995</c:v>
                </c:pt>
                <c:pt idx="8">
                  <c:v>0.49399999999999999</c:v>
                </c:pt>
                <c:pt idx="9">
                  <c:v>0.57399999999999995</c:v>
                </c:pt>
                <c:pt idx="10">
                  <c:v>0.5</c:v>
                </c:pt>
                <c:pt idx="11">
                  <c:v>0.54300000000000004</c:v>
                </c:pt>
                <c:pt idx="12">
                  <c:v>0.55600000000000005</c:v>
                </c:pt>
                <c:pt idx="13">
                  <c:v>0.48799999999999999</c:v>
                </c:pt>
                <c:pt idx="14">
                  <c:v>0.51200000000000001</c:v>
                </c:pt>
                <c:pt idx="15">
                  <c:v>0.40699999999999997</c:v>
                </c:pt>
                <c:pt idx="16">
                  <c:v>0.46300000000000002</c:v>
                </c:pt>
                <c:pt idx="17">
                  <c:v>0.438</c:v>
                </c:pt>
                <c:pt idx="18">
                  <c:v>0.59299999999999997</c:v>
                </c:pt>
                <c:pt idx="19">
                  <c:v>0.47499999999999998</c:v>
                </c:pt>
                <c:pt idx="20">
                  <c:v>0.54900000000000004</c:v>
                </c:pt>
                <c:pt idx="21">
                  <c:v>0.50600000000000001</c:v>
                </c:pt>
                <c:pt idx="22">
                  <c:v>0.51200000000000001</c:v>
                </c:pt>
                <c:pt idx="23">
                  <c:v>0.37</c:v>
                </c:pt>
                <c:pt idx="24">
                  <c:v>0.53700000000000003</c:v>
                </c:pt>
                <c:pt idx="25">
                  <c:v>0.432</c:v>
                </c:pt>
                <c:pt idx="26">
                  <c:v>0.53700000000000003</c:v>
                </c:pt>
                <c:pt idx="27">
                  <c:v>0.432</c:v>
                </c:pt>
                <c:pt idx="28">
                  <c:v>0.37</c:v>
                </c:pt>
                <c:pt idx="29">
                  <c:v>0.57999999999999996</c:v>
                </c:pt>
                <c:pt idx="30">
                  <c:v>0.38900000000000001</c:v>
                </c:pt>
                <c:pt idx="31">
                  <c:v>0.54700000000000004</c:v>
                </c:pt>
                <c:pt idx="32">
                  <c:v>0.42599999999999999</c:v>
                </c:pt>
                <c:pt idx="33">
                  <c:v>0.45700000000000002</c:v>
                </c:pt>
                <c:pt idx="34">
                  <c:v>0.54900000000000004</c:v>
                </c:pt>
                <c:pt idx="35">
                  <c:v>0.57399999999999995</c:v>
                </c:pt>
                <c:pt idx="36">
                  <c:v>0.51200000000000001</c:v>
                </c:pt>
                <c:pt idx="37">
                  <c:v>0.51200000000000001</c:v>
                </c:pt>
                <c:pt idx="38">
                  <c:v>0.54900000000000004</c:v>
                </c:pt>
                <c:pt idx="39">
                  <c:v>0.60499999999999998</c:v>
                </c:pt>
                <c:pt idx="40">
                  <c:v>0.49399999999999999</c:v>
                </c:pt>
                <c:pt idx="41">
                  <c:v>0.57099999999999995</c:v>
                </c:pt>
                <c:pt idx="42">
                  <c:v>0.52500000000000002</c:v>
                </c:pt>
                <c:pt idx="43">
                  <c:v>0.38300000000000001</c:v>
                </c:pt>
                <c:pt idx="44">
                  <c:v>0.54900000000000004</c:v>
                </c:pt>
                <c:pt idx="45">
                  <c:v>0.438</c:v>
                </c:pt>
                <c:pt idx="46">
                  <c:v>0.56200000000000006</c:v>
                </c:pt>
                <c:pt idx="47">
                  <c:v>0.57399999999999995</c:v>
                </c:pt>
                <c:pt idx="48">
                  <c:v>0.58599999999999997</c:v>
                </c:pt>
                <c:pt idx="49">
                  <c:v>0.442</c:v>
                </c:pt>
                <c:pt idx="50">
                  <c:v>0.48099999999999998</c:v>
                </c:pt>
                <c:pt idx="51">
                  <c:v>0.49399999999999999</c:v>
                </c:pt>
                <c:pt idx="52">
                  <c:v>0.5</c:v>
                </c:pt>
                <c:pt idx="53">
                  <c:v>0.47499999999999998</c:v>
                </c:pt>
                <c:pt idx="54">
                  <c:v>0.377</c:v>
                </c:pt>
                <c:pt idx="55">
                  <c:v>0.53100000000000003</c:v>
                </c:pt>
                <c:pt idx="56">
                  <c:v>0.53100000000000003</c:v>
                </c:pt>
                <c:pt idx="57">
                  <c:v>0.50600000000000001</c:v>
                </c:pt>
                <c:pt idx="58">
                  <c:v>0.253</c:v>
                </c:pt>
                <c:pt idx="59">
                  <c:v>0.57999999999999996</c:v>
                </c:pt>
                <c:pt idx="60">
                  <c:v>0.45100000000000001</c:v>
                </c:pt>
                <c:pt idx="61">
                  <c:v>0.55600000000000005</c:v>
                </c:pt>
                <c:pt idx="62">
                  <c:v>0.309</c:v>
                </c:pt>
                <c:pt idx="63">
                  <c:v>0.54900000000000004</c:v>
                </c:pt>
                <c:pt idx="64">
                  <c:v>0.64200000000000002</c:v>
                </c:pt>
                <c:pt idx="65">
                  <c:v>0.56799999999999995</c:v>
                </c:pt>
                <c:pt idx="66">
                  <c:v>0.438</c:v>
                </c:pt>
                <c:pt idx="67">
                  <c:v>0.51200000000000001</c:v>
                </c:pt>
                <c:pt idx="68">
                  <c:v>0.51900000000000002</c:v>
                </c:pt>
                <c:pt idx="69">
                  <c:v>0.61699999999999999</c:v>
                </c:pt>
                <c:pt idx="70">
                  <c:v>0.48799999999999999</c:v>
                </c:pt>
                <c:pt idx="71">
                  <c:v>0.46899999999999997</c:v>
                </c:pt>
                <c:pt idx="72">
                  <c:v>0.54300000000000004</c:v>
                </c:pt>
                <c:pt idx="73">
                  <c:v>0.51900000000000002</c:v>
                </c:pt>
                <c:pt idx="74">
                  <c:v>0.46300000000000002</c:v>
                </c:pt>
                <c:pt idx="75">
                  <c:v>0.438</c:v>
                </c:pt>
                <c:pt idx="76">
                  <c:v>0.623</c:v>
                </c:pt>
                <c:pt idx="77">
                  <c:v>0.50600000000000001</c:v>
                </c:pt>
                <c:pt idx="78">
                  <c:v>0.55600000000000005</c:v>
                </c:pt>
                <c:pt idx="79">
                  <c:v>0.46899999999999997</c:v>
                </c:pt>
                <c:pt idx="80">
                  <c:v>0.55600000000000005</c:v>
                </c:pt>
                <c:pt idx="81">
                  <c:v>0.61099999999999999</c:v>
                </c:pt>
                <c:pt idx="82">
                  <c:v>0.48099999999999998</c:v>
                </c:pt>
                <c:pt idx="83">
                  <c:v>0.50600000000000001</c:v>
                </c:pt>
                <c:pt idx="84">
                  <c:v>0.36399999999999999</c:v>
                </c:pt>
                <c:pt idx="85">
                  <c:v>0.34599999999999997</c:v>
                </c:pt>
                <c:pt idx="86">
                  <c:v>0.48099999999999998</c:v>
                </c:pt>
                <c:pt idx="87">
                  <c:v>0.53700000000000003</c:v>
                </c:pt>
                <c:pt idx="88">
                  <c:v>0.377</c:v>
                </c:pt>
                <c:pt idx="89">
                  <c:v>0.50600000000000001</c:v>
                </c:pt>
                <c:pt idx="90">
                  <c:v>0.45100000000000001</c:v>
                </c:pt>
                <c:pt idx="91">
                  <c:v>0.65400000000000003</c:v>
                </c:pt>
                <c:pt idx="92">
                  <c:v>0.37</c:v>
                </c:pt>
                <c:pt idx="93">
                  <c:v>0.56799999999999995</c:v>
                </c:pt>
                <c:pt idx="94">
                  <c:v>0.623</c:v>
                </c:pt>
                <c:pt idx="95">
                  <c:v>0.53100000000000003</c:v>
                </c:pt>
                <c:pt idx="96">
                  <c:v>0.57399999999999995</c:v>
                </c:pt>
                <c:pt idx="97">
                  <c:v>0.45700000000000002</c:v>
                </c:pt>
                <c:pt idx="98">
                  <c:v>0.45700000000000002</c:v>
                </c:pt>
                <c:pt idx="99">
                  <c:v>0.68500000000000005</c:v>
                </c:pt>
                <c:pt idx="100">
                  <c:v>0.5</c:v>
                </c:pt>
                <c:pt idx="101">
                  <c:v>0.56799999999999995</c:v>
                </c:pt>
                <c:pt idx="102">
                  <c:v>0.55600000000000005</c:v>
                </c:pt>
                <c:pt idx="103">
                  <c:v>0.42599999999999999</c:v>
                </c:pt>
                <c:pt idx="104">
                  <c:v>0.623</c:v>
                </c:pt>
                <c:pt idx="105">
                  <c:v>0.34</c:v>
                </c:pt>
                <c:pt idx="106">
                  <c:v>0.51200000000000001</c:v>
                </c:pt>
                <c:pt idx="107">
                  <c:v>0.54900000000000004</c:v>
                </c:pt>
                <c:pt idx="108">
                  <c:v>0.53700000000000003</c:v>
                </c:pt>
                <c:pt idx="109">
                  <c:v>0.38300000000000001</c:v>
                </c:pt>
                <c:pt idx="110">
                  <c:v>0.42</c:v>
                </c:pt>
                <c:pt idx="111">
                  <c:v>0.53100000000000003</c:v>
                </c:pt>
                <c:pt idx="112">
                  <c:v>0.48099999999999998</c:v>
                </c:pt>
                <c:pt idx="113">
                  <c:v>0.38300000000000001</c:v>
                </c:pt>
                <c:pt idx="114">
                  <c:v>0.42</c:v>
                </c:pt>
                <c:pt idx="115">
                  <c:v>0.40100000000000002</c:v>
                </c:pt>
                <c:pt idx="116">
                  <c:v>0.40699999999999997</c:v>
                </c:pt>
                <c:pt idx="117">
                  <c:v>0.48099999999999998</c:v>
                </c:pt>
                <c:pt idx="118">
                  <c:v>0.5</c:v>
                </c:pt>
                <c:pt idx="119">
                  <c:v>0.61099999999999999</c:v>
                </c:pt>
                <c:pt idx="120">
                  <c:v>0.47499999999999998</c:v>
                </c:pt>
                <c:pt idx="121">
                  <c:v>0.58599999999999997</c:v>
                </c:pt>
                <c:pt idx="122">
                  <c:v>0.53100000000000003</c:v>
                </c:pt>
                <c:pt idx="123">
                  <c:v>0.56200000000000006</c:v>
                </c:pt>
                <c:pt idx="124">
                  <c:v>0.54700000000000004</c:v>
                </c:pt>
                <c:pt idx="125">
                  <c:v>0.58599999999999997</c:v>
                </c:pt>
                <c:pt idx="126">
                  <c:v>0.55600000000000005</c:v>
                </c:pt>
                <c:pt idx="127">
                  <c:v>0.438</c:v>
                </c:pt>
                <c:pt idx="128">
                  <c:v>0.32100000000000001</c:v>
                </c:pt>
                <c:pt idx="129">
                  <c:v>0.65400000000000003</c:v>
                </c:pt>
                <c:pt idx="130">
                  <c:v>0.66</c:v>
                </c:pt>
                <c:pt idx="131">
                  <c:v>0.49399999999999999</c:v>
                </c:pt>
                <c:pt idx="132">
                  <c:v>0.55600000000000005</c:v>
                </c:pt>
                <c:pt idx="133">
                  <c:v>0.41399999999999998</c:v>
                </c:pt>
                <c:pt idx="134">
                  <c:v>0.47499999999999998</c:v>
                </c:pt>
                <c:pt idx="135">
                  <c:v>0.40100000000000002</c:v>
                </c:pt>
                <c:pt idx="136">
                  <c:v>0.307</c:v>
                </c:pt>
                <c:pt idx="137">
                  <c:v>0.48799999999999999</c:v>
                </c:pt>
                <c:pt idx="138">
                  <c:v>0.50600000000000001</c:v>
                </c:pt>
                <c:pt idx="139">
                  <c:v>0.377</c:v>
                </c:pt>
                <c:pt idx="140">
                  <c:v>0.37</c:v>
                </c:pt>
                <c:pt idx="141">
                  <c:v>0.61699999999999999</c:v>
                </c:pt>
                <c:pt idx="142">
                  <c:v>0.56799999999999995</c:v>
                </c:pt>
                <c:pt idx="143">
                  <c:v>0.51200000000000001</c:v>
                </c:pt>
                <c:pt idx="144">
                  <c:v>0.46</c:v>
                </c:pt>
                <c:pt idx="145">
                  <c:v>0.45700000000000002</c:v>
                </c:pt>
                <c:pt idx="146">
                  <c:v>0.47499999999999998</c:v>
                </c:pt>
                <c:pt idx="147">
                  <c:v>0.45100000000000001</c:v>
                </c:pt>
                <c:pt idx="148">
                  <c:v>0.57399999999999995</c:v>
                </c:pt>
                <c:pt idx="149">
                  <c:v>0.56799999999999995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1-4C86-80AB-BDFB8BD0F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463039"/>
        <c:axId val="947463519"/>
      </c:scatterChart>
      <c:valAx>
        <c:axId val="947463039"/>
        <c:scaling>
          <c:orientation val="minMax"/>
          <c:max val="36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Salary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63519"/>
        <c:crosses val="autoZero"/>
        <c:crossBetween val="midCat"/>
        <c:majorUnit val="100000000"/>
      </c:valAx>
      <c:valAx>
        <c:axId val="947463519"/>
        <c:scaling>
          <c:orientation val="minMax"/>
          <c:max val="0.70000000000000007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Win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6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Salary vs Win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8.6211366448067095E-2"/>
                  <c:y val="-0.253772880854471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Sheet1!$C$2:$C$151</c:f>
              <c:numCache>
                <c:formatCode>0</c:formatCode>
                <c:ptCount val="150"/>
                <c:pt idx="0">
                  <c:v>208420995</c:v>
                </c:pt>
                <c:pt idx="1">
                  <c:v>232140003</c:v>
                </c:pt>
                <c:pt idx="2">
                  <c:v>78384241</c:v>
                </c:pt>
                <c:pt idx="3">
                  <c:v>255230406</c:v>
                </c:pt>
                <c:pt idx="4">
                  <c:v>220223651</c:v>
                </c:pt>
                <c:pt idx="5">
                  <c:v>137618720</c:v>
                </c:pt>
                <c:pt idx="6">
                  <c:v>131152698</c:v>
                </c:pt>
                <c:pt idx="7">
                  <c:v>214020073</c:v>
                </c:pt>
                <c:pt idx="8">
                  <c:v>177424443</c:v>
                </c:pt>
                <c:pt idx="9">
                  <c:v>350024106</c:v>
                </c:pt>
                <c:pt idx="10">
                  <c:v>178562152</c:v>
                </c:pt>
                <c:pt idx="11">
                  <c:v>100265946</c:v>
                </c:pt>
                <c:pt idx="12">
                  <c:v>165596493</c:v>
                </c:pt>
                <c:pt idx="13">
                  <c:v>67794627</c:v>
                </c:pt>
                <c:pt idx="14">
                  <c:v>342303011</c:v>
                </c:pt>
                <c:pt idx="15">
                  <c:v>109465924</c:v>
                </c:pt>
                <c:pt idx="16">
                  <c:v>158571377</c:v>
                </c:pt>
                <c:pt idx="17">
                  <c:v>223125239</c:v>
                </c:pt>
                <c:pt idx="18">
                  <c:v>293240191</c:v>
                </c:pt>
                <c:pt idx="19">
                  <c:v>84423338</c:v>
                </c:pt>
                <c:pt idx="20">
                  <c:v>226526491</c:v>
                </c:pt>
                <c:pt idx="21">
                  <c:v>88629788</c:v>
                </c:pt>
                <c:pt idx="22">
                  <c:v>203658855</c:v>
                </c:pt>
                <c:pt idx="23">
                  <c:v>119036486</c:v>
                </c:pt>
                <c:pt idx="24">
                  <c:v>127325786</c:v>
                </c:pt>
                <c:pt idx="25">
                  <c:v>133630058</c:v>
                </c:pt>
                <c:pt idx="26">
                  <c:v>157542361</c:v>
                </c:pt>
                <c:pt idx="27">
                  <c:v>129650732</c:v>
                </c:pt>
                <c:pt idx="28">
                  <c:v>79960763</c:v>
                </c:pt>
                <c:pt idx="29">
                  <c:v>304091683</c:v>
                </c:pt>
                <c:pt idx="30">
                  <c:v>171986921</c:v>
                </c:pt>
                <c:pt idx="31">
                  <c:v>248670553</c:v>
                </c:pt>
                <c:pt idx="32">
                  <c:v>63503127</c:v>
                </c:pt>
                <c:pt idx="33">
                  <c:v>219180044</c:v>
                </c:pt>
                <c:pt idx="34">
                  <c:v>238108491</c:v>
                </c:pt>
                <c:pt idx="35">
                  <c:v>124643685</c:v>
                </c:pt>
                <c:pt idx="36">
                  <c:v>179440274</c:v>
                </c:pt>
                <c:pt idx="37">
                  <c:v>231700554</c:v>
                </c:pt>
                <c:pt idx="38">
                  <c:v>178427194</c:v>
                </c:pt>
                <c:pt idx="39">
                  <c:v>266640208</c:v>
                </c:pt>
                <c:pt idx="40">
                  <c:v>207092069</c:v>
                </c:pt>
                <c:pt idx="41">
                  <c:v>107113214</c:v>
                </c:pt>
                <c:pt idx="42">
                  <c:v>149346087</c:v>
                </c:pt>
                <c:pt idx="43">
                  <c:v>97569865</c:v>
                </c:pt>
                <c:pt idx="44">
                  <c:v>322960494</c:v>
                </c:pt>
                <c:pt idx="45">
                  <c:v>107128130</c:v>
                </c:pt>
                <c:pt idx="46">
                  <c:v>111309008</c:v>
                </c:pt>
                <c:pt idx="47">
                  <c:v>172855090</c:v>
                </c:pt>
                <c:pt idx="48">
                  <c:v>244253627</c:v>
                </c:pt>
                <c:pt idx="49">
                  <c:v>85405037</c:v>
                </c:pt>
                <c:pt idx="50">
                  <c:v>227545408</c:v>
                </c:pt>
                <c:pt idx="51">
                  <c:v>89852001</c:v>
                </c:pt>
                <c:pt idx="52">
                  <c:v>190176844</c:v>
                </c:pt>
                <c:pt idx="53">
                  <c:v>102298823</c:v>
                </c:pt>
                <c:pt idx="54">
                  <c:v>147506521</c:v>
                </c:pt>
                <c:pt idx="55">
                  <c:v>125570914</c:v>
                </c:pt>
                <c:pt idx="56">
                  <c:v>98607894</c:v>
                </c:pt>
                <c:pt idx="57">
                  <c:v>131225880</c:v>
                </c:pt>
                <c:pt idx="58">
                  <c:v>142916866</c:v>
                </c:pt>
                <c:pt idx="59">
                  <c:v>315616982</c:v>
                </c:pt>
                <c:pt idx="60">
                  <c:v>230534276</c:v>
                </c:pt>
                <c:pt idx="61">
                  <c:v>237107748</c:v>
                </c:pt>
                <c:pt idx="62">
                  <c:v>62258711</c:v>
                </c:pt>
                <c:pt idx="63">
                  <c:v>214916600</c:v>
                </c:pt>
                <c:pt idx="64">
                  <c:v>206424932</c:v>
                </c:pt>
                <c:pt idx="65">
                  <c:v>129339624</c:v>
                </c:pt>
                <c:pt idx="66">
                  <c:v>153793028</c:v>
                </c:pt>
                <c:pt idx="67">
                  <c:v>189869996</c:v>
                </c:pt>
                <c:pt idx="68">
                  <c:v>119296377</c:v>
                </c:pt>
                <c:pt idx="69">
                  <c:v>235747111</c:v>
                </c:pt>
                <c:pt idx="70">
                  <c:v>189413646</c:v>
                </c:pt>
                <c:pt idx="71">
                  <c:v>92103949</c:v>
                </c:pt>
                <c:pt idx="72">
                  <c:v>127993987</c:v>
                </c:pt>
                <c:pt idx="73">
                  <c:v>105435809</c:v>
                </c:pt>
                <c:pt idx="74">
                  <c:v>347949991</c:v>
                </c:pt>
                <c:pt idx="75">
                  <c:v>93383875</c:v>
                </c:pt>
                <c:pt idx="76">
                  <c:v>71064917</c:v>
                </c:pt>
                <c:pt idx="77">
                  <c:v>256049558</c:v>
                </c:pt>
                <c:pt idx="78">
                  <c:v>245410961</c:v>
                </c:pt>
                <c:pt idx="79">
                  <c:v>75734681</c:v>
                </c:pt>
                <c:pt idx="80">
                  <c:v>251332754</c:v>
                </c:pt>
                <c:pt idx="81">
                  <c:v>79354272</c:v>
                </c:pt>
                <c:pt idx="82">
                  <c:v>182930664</c:v>
                </c:pt>
                <c:pt idx="83">
                  <c:v>95731662</c:v>
                </c:pt>
                <c:pt idx="84">
                  <c:v>171240555</c:v>
                </c:pt>
                <c:pt idx="85">
                  <c:v>96083853</c:v>
                </c:pt>
                <c:pt idx="86">
                  <c:v>121474919</c:v>
                </c:pt>
                <c:pt idx="87">
                  <c:v>156104540</c:v>
                </c:pt>
                <c:pt idx="88">
                  <c:v>162867704</c:v>
                </c:pt>
                <c:pt idx="89">
                  <c:v>278747922</c:v>
                </c:pt>
                <c:pt idx="90">
                  <c:v>179877811</c:v>
                </c:pt>
                <c:pt idx="91">
                  <c:v>183791796</c:v>
                </c:pt>
                <c:pt idx="92">
                  <c:v>48443900</c:v>
                </c:pt>
                <c:pt idx="93">
                  <c:v>177287681</c:v>
                </c:pt>
                <c:pt idx="94">
                  <c:v>179935585</c:v>
                </c:pt>
                <c:pt idx="95">
                  <c:v>133086663</c:v>
                </c:pt>
                <c:pt idx="96">
                  <c:v>156428325</c:v>
                </c:pt>
                <c:pt idx="97">
                  <c:v>151054737</c:v>
                </c:pt>
                <c:pt idx="98">
                  <c:v>85966193</c:v>
                </c:pt>
                <c:pt idx="99">
                  <c:v>264996019</c:v>
                </c:pt>
                <c:pt idx="100">
                  <c:v>162453046</c:v>
                </c:pt>
                <c:pt idx="101">
                  <c:v>66717694</c:v>
                </c:pt>
                <c:pt idx="102">
                  <c:v>113926407</c:v>
                </c:pt>
                <c:pt idx="103">
                  <c:v>88452043</c:v>
                </c:pt>
                <c:pt idx="104">
                  <c:v>266670327</c:v>
                </c:pt>
                <c:pt idx="105">
                  <c:v>126782278</c:v>
                </c:pt>
                <c:pt idx="106">
                  <c:v>44888388</c:v>
                </c:pt>
                <c:pt idx="107">
                  <c:v>224492122</c:v>
                </c:pt>
                <c:pt idx="108">
                  <c:v>244458518</c:v>
                </c:pt>
                <c:pt idx="109">
                  <c:v>56197847</c:v>
                </c:pt>
                <c:pt idx="110">
                  <c:v>150035993</c:v>
                </c:pt>
                <c:pt idx="111">
                  <c:v>98342073</c:v>
                </c:pt>
                <c:pt idx="112">
                  <c:v>211808993</c:v>
                </c:pt>
                <c:pt idx="113">
                  <c:v>115417321</c:v>
                </c:pt>
                <c:pt idx="114">
                  <c:v>140072825</c:v>
                </c:pt>
                <c:pt idx="115">
                  <c:v>92613711</c:v>
                </c:pt>
                <c:pt idx="116">
                  <c:v>136248620</c:v>
                </c:pt>
                <c:pt idx="117">
                  <c:v>150363491</c:v>
                </c:pt>
                <c:pt idx="118">
                  <c:v>203203922</c:v>
                </c:pt>
                <c:pt idx="119">
                  <c:v>252957200</c:v>
                </c:pt>
                <c:pt idx="120">
                  <c:v>183849560</c:v>
                </c:pt>
                <c:pt idx="121">
                  <c:v>194222042</c:v>
                </c:pt>
                <c:pt idx="122">
                  <c:v>90400598</c:v>
                </c:pt>
                <c:pt idx="123">
                  <c:v>150140253</c:v>
                </c:pt>
                <c:pt idx="124">
                  <c:v>152753755</c:v>
                </c:pt>
                <c:pt idx="125">
                  <c:v>99377415</c:v>
                </c:pt>
                <c:pt idx="126">
                  <c:v>151469994</c:v>
                </c:pt>
                <c:pt idx="127">
                  <c:v>144040237</c:v>
                </c:pt>
                <c:pt idx="128">
                  <c:v>91636935</c:v>
                </c:pt>
                <c:pt idx="129">
                  <c:v>261320507</c:v>
                </c:pt>
                <c:pt idx="130">
                  <c:v>171890308</c:v>
                </c:pt>
                <c:pt idx="131">
                  <c:v>50670534</c:v>
                </c:pt>
                <c:pt idx="132">
                  <c:v>83822113</c:v>
                </c:pt>
                <c:pt idx="133">
                  <c:v>58157900</c:v>
                </c:pt>
                <c:pt idx="134">
                  <c:v>201189189</c:v>
                </c:pt>
                <c:pt idx="135">
                  <c:v>144023139</c:v>
                </c:pt>
                <c:pt idx="136">
                  <c:v>42421870</c:v>
                </c:pt>
                <c:pt idx="137">
                  <c:v>179767122</c:v>
                </c:pt>
                <c:pt idx="138">
                  <c:v>190519366</c:v>
                </c:pt>
                <c:pt idx="139">
                  <c:v>54356609</c:v>
                </c:pt>
                <c:pt idx="140">
                  <c:v>95791911</c:v>
                </c:pt>
                <c:pt idx="141">
                  <c:v>70836327</c:v>
                </c:pt>
                <c:pt idx="142">
                  <c:v>187100784</c:v>
                </c:pt>
                <c:pt idx="143">
                  <c:v>126608690</c:v>
                </c:pt>
                <c:pt idx="144">
                  <c:v>116285650</c:v>
                </c:pt>
                <c:pt idx="145">
                  <c:v>91595545</c:v>
                </c:pt>
                <c:pt idx="146">
                  <c:v>86348945</c:v>
                </c:pt>
                <c:pt idx="147">
                  <c:v>121417939</c:v>
                </c:pt>
                <c:pt idx="148">
                  <c:v>140926169</c:v>
                </c:pt>
                <c:pt idx="149">
                  <c:v>205669863</c:v>
                </c:pt>
              </c:numCache>
            </c:numRef>
          </c:xVal>
          <c:yVal>
            <c:numRef>
              <c:f>Sheet1!$D$2:$D$151</c:f>
              <c:numCache>
                <c:formatCode>General</c:formatCode>
                <c:ptCount val="150"/>
                <c:pt idx="0">
                  <c:v>0.44400000000000001</c:v>
                </c:pt>
                <c:pt idx="1">
                  <c:v>0.53700000000000003</c:v>
                </c:pt>
                <c:pt idx="2">
                  <c:v>0.46899999999999997</c:v>
                </c:pt>
                <c:pt idx="3">
                  <c:v>0.57999999999999996</c:v>
                </c:pt>
                <c:pt idx="4">
                  <c:v>0.46899999999999997</c:v>
                </c:pt>
                <c:pt idx="5">
                  <c:v>0.59899999999999998</c:v>
                </c:pt>
                <c:pt idx="6">
                  <c:v>0.48099999999999998</c:v>
                </c:pt>
                <c:pt idx="7">
                  <c:v>0.56799999999999995</c:v>
                </c:pt>
                <c:pt idx="8">
                  <c:v>0.49399999999999999</c:v>
                </c:pt>
                <c:pt idx="9">
                  <c:v>0.57399999999999995</c:v>
                </c:pt>
                <c:pt idx="10">
                  <c:v>0.5</c:v>
                </c:pt>
                <c:pt idx="11">
                  <c:v>0.54300000000000004</c:v>
                </c:pt>
                <c:pt idx="12">
                  <c:v>0.55600000000000005</c:v>
                </c:pt>
                <c:pt idx="13">
                  <c:v>0.48799999999999999</c:v>
                </c:pt>
                <c:pt idx="14">
                  <c:v>0.51200000000000001</c:v>
                </c:pt>
                <c:pt idx="15">
                  <c:v>0.40699999999999997</c:v>
                </c:pt>
                <c:pt idx="16">
                  <c:v>0.46300000000000002</c:v>
                </c:pt>
                <c:pt idx="17">
                  <c:v>0.438</c:v>
                </c:pt>
                <c:pt idx="18">
                  <c:v>0.59299999999999997</c:v>
                </c:pt>
                <c:pt idx="19">
                  <c:v>0.47499999999999998</c:v>
                </c:pt>
                <c:pt idx="20">
                  <c:v>0.54900000000000004</c:v>
                </c:pt>
                <c:pt idx="21">
                  <c:v>0.50600000000000001</c:v>
                </c:pt>
                <c:pt idx="22">
                  <c:v>0.51200000000000001</c:v>
                </c:pt>
                <c:pt idx="23">
                  <c:v>0.37</c:v>
                </c:pt>
                <c:pt idx="24">
                  <c:v>0.53700000000000003</c:v>
                </c:pt>
                <c:pt idx="25">
                  <c:v>0.432</c:v>
                </c:pt>
                <c:pt idx="26">
                  <c:v>0.53700000000000003</c:v>
                </c:pt>
                <c:pt idx="27">
                  <c:v>0.432</c:v>
                </c:pt>
                <c:pt idx="28">
                  <c:v>0.37</c:v>
                </c:pt>
                <c:pt idx="29">
                  <c:v>0.57999999999999996</c:v>
                </c:pt>
                <c:pt idx="30">
                  <c:v>0.38900000000000001</c:v>
                </c:pt>
                <c:pt idx="31">
                  <c:v>0.54700000000000004</c:v>
                </c:pt>
                <c:pt idx="32">
                  <c:v>0.42599999999999999</c:v>
                </c:pt>
                <c:pt idx="33">
                  <c:v>0.45700000000000002</c:v>
                </c:pt>
                <c:pt idx="34">
                  <c:v>0.54900000000000004</c:v>
                </c:pt>
                <c:pt idx="35">
                  <c:v>0.57399999999999995</c:v>
                </c:pt>
                <c:pt idx="36">
                  <c:v>0.51200000000000001</c:v>
                </c:pt>
                <c:pt idx="37">
                  <c:v>0.51200000000000001</c:v>
                </c:pt>
                <c:pt idx="38">
                  <c:v>0.54900000000000004</c:v>
                </c:pt>
                <c:pt idx="39">
                  <c:v>0.60499999999999998</c:v>
                </c:pt>
                <c:pt idx="40">
                  <c:v>0.49399999999999999</c:v>
                </c:pt>
                <c:pt idx="41">
                  <c:v>0.57099999999999995</c:v>
                </c:pt>
                <c:pt idx="42">
                  <c:v>0.52500000000000002</c:v>
                </c:pt>
                <c:pt idx="43">
                  <c:v>0.38300000000000001</c:v>
                </c:pt>
                <c:pt idx="44">
                  <c:v>0.54900000000000004</c:v>
                </c:pt>
                <c:pt idx="45">
                  <c:v>0.438</c:v>
                </c:pt>
                <c:pt idx="46">
                  <c:v>0.56200000000000006</c:v>
                </c:pt>
                <c:pt idx="47">
                  <c:v>0.57399999999999995</c:v>
                </c:pt>
                <c:pt idx="48">
                  <c:v>0.58599999999999997</c:v>
                </c:pt>
                <c:pt idx="49">
                  <c:v>0.442</c:v>
                </c:pt>
                <c:pt idx="50">
                  <c:v>0.48099999999999998</c:v>
                </c:pt>
                <c:pt idx="51">
                  <c:v>0.49399999999999999</c:v>
                </c:pt>
                <c:pt idx="52">
                  <c:v>0.5</c:v>
                </c:pt>
                <c:pt idx="53">
                  <c:v>0.47499999999999998</c:v>
                </c:pt>
                <c:pt idx="54">
                  <c:v>0.377</c:v>
                </c:pt>
                <c:pt idx="55">
                  <c:v>0.53100000000000003</c:v>
                </c:pt>
                <c:pt idx="56">
                  <c:v>0.53100000000000003</c:v>
                </c:pt>
                <c:pt idx="57">
                  <c:v>0.50600000000000001</c:v>
                </c:pt>
                <c:pt idx="58">
                  <c:v>0.253</c:v>
                </c:pt>
                <c:pt idx="59">
                  <c:v>0.57999999999999996</c:v>
                </c:pt>
                <c:pt idx="60">
                  <c:v>0.45100000000000001</c:v>
                </c:pt>
                <c:pt idx="61">
                  <c:v>0.55600000000000005</c:v>
                </c:pt>
                <c:pt idx="62">
                  <c:v>0.309</c:v>
                </c:pt>
                <c:pt idx="63">
                  <c:v>0.54900000000000004</c:v>
                </c:pt>
                <c:pt idx="64">
                  <c:v>0.64200000000000002</c:v>
                </c:pt>
                <c:pt idx="65">
                  <c:v>0.56799999999999995</c:v>
                </c:pt>
                <c:pt idx="66">
                  <c:v>0.438</c:v>
                </c:pt>
                <c:pt idx="67">
                  <c:v>0.51200000000000001</c:v>
                </c:pt>
                <c:pt idx="68">
                  <c:v>0.51900000000000002</c:v>
                </c:pt>
                <c:pt idx="69">
                  <c:v>0.61699999999999999</c:v>
                </c:pt>
                <c:pt idx="70">
                  <c:v>0.48799999999999999</c:v>
                </c:pt>
                <c:pt idx="71">
                  <c:v>0.46899999999999997</c:v>
                </c:pt>
                <c:pt idx="72">
                  <c:v>0.54300000000000004</c:v>
                </c:pt>
                <c:pt idx="73">
                  <c:v>0.51900000000000002</c:v>
                </c:pt>
                <c:pt idx="74">
                  <c:v>0.46300000000000002</c:v>
                </c:pt>
                <c:pt idx="75">
                  <c:v>0.438</c:v>
                </c:pt>
                <c:pt idx="76">
                  <c:v>0.623</c:v>
                </c:pt>
                <c:pt idx="77">
                  <c:v>0.50600000000000001</c:v>
                </c:pt>
                <c:pt idx="78">
                  <c:v>0.55600000000000005</c:v>
                </c:pt>
                <c:pt idx="79">
                  <c:v>0.46899999999999997</c:v>
                </c:pt>
                <c:pt idx="80">
                  <c:v>0.55600000000000005</c:v>
                </c:pt>
                <c:pt idx="81">
                  <c:v>0.61099999999999999</c:v>
                </c:pt>
                <c:pt idx="82">
                  <c:v>0.48099999999999998</c:v>
                </c:pt>
                <c:pt idx="83">
                  <c:v>0.50600000000000001</c:v>
                </c:pt>
                <c:pt idx="84">
                  <c:v>0.36399999999999999</c:v>
                </c:pt>
                <c:pt idx="85">
                  <c:v>0.34599999999999997</c:v>
                </c:pt>
                <c:pt idx="86">
                  <c:v>0.48099999999999998</c:v>
                </c:pt>
                <c:pt idx="87">
                  <c:v>0.53700000000000003</c:v>
                </c:pt>
                <c:pt idx="88">
                  <c:v>0.377</c:v>
                </c:pt>
                <c:pt idx="89">
                  <c:v>0.50600000000000001</c:v>
                </c:pt>
                <c:pt idx="90">
                  <c:v>0.45100000000000001</c:v>
                </c:pt>
                <c:pt idx="91">
                  <c:v>0.65400000000000003</c:v>
                </c:pt>
                <c:pt idx="92">
                  <c:v>0.37</c:v>
                </c:pt>
                <c:pt idx="93">
                  <c:v>0.56799999999999995</c:v>
                </c:pt>
                <c:pt idx="94">
                  <c:v>0.623</c:v>
                </c:pt>
                <c:pt idx="95">
                  <c:v>0.53100000000000003</c:v>
                </c:pt>
                <c:pt idx="96">
                  <c:v>0.57399999999999995</c:v>
                </c:pt>
                <c:pt idx="97">
                  <c:v>0.45700000000000002</c:v>
                </c:pt>
                <c:pt idx="98">
                  <c:v>0.45700000000000002</c:v>
                </c:pt>
                <c:pt idx="99">
                  <c:v>0.68500000000000005</c:v>
                </c:pt>
                <c:pt idx="100">
                  <c:v>0.5</c:v>
                </c:pt>
                <c:pt idx="101">
                  <c:v>0.56799999999999995</c:v>
                </c:pt>
                <c:pt idx="102">
                  <c:v>0.55600000000000005</c:v>
                </c:pt>
                <c:pt idx="103">
                  <c:v>0.42599999999999999</c:v>
                </c:pt>
                <c:pt idx="104">
                  <c:v>0.623</c:v>
                </c:pt>
                <c:pt idx="105">
                  <c:v>0.34</c:v>
                </c:pt>
                <c:pt idx="106">
                  <c:v>0.51200000000000001</c:v>
                </c:pt>
                <c:pt idx="107">
                  <c:v>0.54900000000000004</c:v>
                </c:pt>
                <c:pt idx="108">
                  <c:v>0.53700000000000003</c:v>
                </c:pt>
                <c:pt idx="109">
                  <c:v>0.38300000000000001</c:v>
                </c:pt>
                <c:pt idx="110">
                  <c:v>0.42</c:v>
                </c:pt>
                <c:pt idx="111">
                  <c:v>0.53100000000000003</c:v>
                </c:pt>
                <c:pt idx="112">
                  <c:v>0.48099999999999998</c:v>
                </c:pt>
                <c:pt idx="113">
                  <c:v>0.38300000000000001</c:v>
                </c:pt>
                <c:pt idx="114">
                  <c:v>0.42</c:v>
                </c:pt>
                <c:pt idx="115">
                  <c:v>0.40100000000000002</c:v>
                </c:pt>
                <c:pt idx="116">
                  <c:v>0.40699999999999997</c:v>
                </c:pt>
                <c:pt idx="117">
                  <c:v>0.48099999999999998</c:v>
                </c:pt>
                <c:pt idx="118">
                  <c:v>0.5</c:v>
                </c:pt>
                <c:pt idx="119">
                  <c:v>0.61099999999999999</c:v>
                </c:pt>
                <c:pt idx="120">
                  <c:v>0.47499999999999998</c:v>
                </c:pt>
                <c:pt idx="121">
                  <c:v>0.58599999999999997</c:v>
                </c:pt>
                <c:pt idx="122">
                  <c:v>0.53100000000000003</c:v>
                </c:pt>
                <c:pt idx="123">
                  <c:v>0.56200000000000006</c:v>
                </c:pt>
                <c:pt idx="124">
                  <c:v>0.54700000000000004</c:v>
                </c:pt>
                <c:pt idx="125">
                  <c:v>0.58599999999999997</c:v>
                </c:pt>
                <c:pt idx="126">
                  <c:v>0.55600000000000005</c:v>
                </c:pt>
                <c:pt idx="127">
                  <c:v>0.438</c:v>
                </c:pt>
                <c:pt idx="128">
                  <c:v>0.32100000000000001</c:v>
                </c:pt>
                <c:pt idx="129">
                  <c:v>0.65400000000000003</c:v>
                </c:pt>
                <c:pt idx="130">
                  <c:v>0.66</c:v>
                </c:pt>
                <c:pt idx="131">
                  <c:v>0.49399999999999999</c:v>
                </c:pt>
                <c:pt idx="132">
                  <c:v>0.55600000000000005</c:v>
                </c:pt>
                <c:pt idx="133">
                  <c:v>0.41399999999999998</c:v>
                </c:pt>
                <c:pt idx="134">
                  <c:v>0.47499999999999998</c:v>
                </c:pt>
                <c:pt idx="135">
                  <c:v>0.40100000000000002</c:v>
                </c:pt>
                <c:pt idx="136">
                  <c:v>0.307</c:v>
                </c:pt>
                <c:pt idx="137">
                  <c:v>0.48799999999999999</c:v>
                </c:pt>
                <c:pt idx="138">
                  <c:v>0.50600000000000001</c:v>
                </c:pt>
                <c:pt idx="139">
                  <c:v>0.377</c:v>
                </c:pt>
                <c:pt idx="140">
                  <c:v>0.37</c:v>
                </c:pt>
                <c:pt idx="141">
                  <c:v>0.61699999999999999</c:v>
                </c:pt>
                <c:pt idx="142">
                  <c:v>0.56799999999999995</c:v>
                </c:pt>
                <c:pt idx="143">
                  <c:v>0.51200000000000001</c:v>
                </c:pt>
                <c:pt idx="144">
                  <c:v>0.46</c:v>
                </c:pt>
                <c:pt idx="145">
                  <c:v>0.45700000000000002</c:v>
                </c:pt>
                <c:pt idx="146">
                  <c:v>0.47499999999999998</c:v>
                </c:pt>
                <c:pt idx="147">
                  <c:v>0.45100000000000001</c:v>
                </c:pt>
                <c:pt idx="148">
                  <c:v>0.57399999999999995</c:v>
                </c:pt>
                <c:pt idx="149">
                  <c:v>0.56799999999999995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D2-4644-BFA9-6697ADDA6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463039"/>
        <c:axId val="947463519"/>
      </c:scatterChart>
      <c:valAx>
        <c:axId val="947463039"/>
        <c:scaling>
          <c:logBase val="10"/>
          <c:orientation val="minMax"/>
          <c:max val="400000000"/>
          <c:min val="4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Salary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63519"/>
        <c:crosses val="autoZero"/>
        <c:crossBetween val="midCat"/>
      </c:valAx>
      <c:valAx>
        <c:axId val="947463519"/>
        <c:scaling>
          <c:orientation val="minMax"/>
          <c:max val="0.70000000000000007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</a:t>
                </a:r>
                <a:r>
                  <a:rPr lang="en-US" baseline="0"/>
                  <a:t> Percentage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6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204310</xdr:colOff>
      <xdr:row>2</xdr:row>
      <xdr:rowOff>66498</xdr:rowOff>
    </xdr:from>
    <xdr:to>
      <xdr:col>15</xdr:col>
      <xdr:colOff>52812</xdr:colOff>
      <xdr:row>18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4E63784-6208-7541-F7DE-3BD5E3F2D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246063</xdr:colOff>
      <xdr:row>22</xdr:row>
      <xdr:rowOff>79375</xdr:rowOff>
    </xdr:from>
    <xdr:to>
      <xdr:col>14</xdr:col>
      <xdr:colOff>534700</xdr:colOff>
      <xdr:row>37</xdr:row>
      <xdr:rowOff>51665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E320AD-74E7-4ADC-9DD5-0BF0CE554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AC3E-1566-47A8-A2DD-6B23C00C18A9}">
  <dimension ref="A1:R302"/>
  <sheetViews>
    <sheetView showGridLines="0" tabSelected="1" zoomScale="64" zoomScaleNormal="80" workbookViewId="0">
      <selection activeCell="F5" sqref="F5"/>
    </sheetView>
  </sheetViews>
  <sheetFormatPr defaultRowHeight="14.5" x14ac:dyDescent="0.35"/>
  <cols>
    <col min="2" max="2" width="7.7265625" customWidth="1"/>
    <col min="3" max="3" width="14.7265625" customWidth="1"/>
    <col min="4" max="4" width="16.7265625" style="7" customWidth="1"/>
    <col min="5" max="5" width="16.453125" customWidth="1"/>
    <col min="6" max="6" width="19.7265625" customWidth="1"/>
    <col min="17" max="17" width="17.26953125" bestFit="1" customWidth="1"/>
  </cols>
  <sheetData>
    <row r="1" spans="1:18" x14ac:dyDescent="0.35">
      <c r="A1" s="2" t="s">
        <v>1</v>
      </c>
      <c r="B1" s="3" t="s">
        <v>2</v>
      </c>
      <c r="C1" s="8" t="s">
        <v>3</v>
      </c>
      <c r="D1" s="3" t="s">
        <v>4</v>
      </c>
      <c r="E1" s="4" t="s">
        <v>5</v>
      </c>
      <c r="K1" t="s">
        <v>0</v>
      </c>
    </row>
    <row r="2" spans="1:18" x14ac:dyDescent="0.35">
      <c r="A2" s="5">
        <v>2025</v>
      </c>
      <c r="B2" s="1" t="s">
        <v>6</v>
      </c>
      <c r="C2" s="9">
        <v>208420995</v>
      </c>
      <c r="D2" s="1">
        <v>0.44400000000000001</v>
      </c>
      <c r="E2" s="6"/>
    </row>
    <row r="3" spans="1:18" x14ac:dyDescent="0.35">
      <c r="A3" s="5">
        <v>2025</v>
      </c>
      <c r="B3" s="1" t="s">
        <v>7</v>
      </c>
      <c r="C3" s="9">
        <v>232140003</v>
      </c>
      <c r="D3" s="1">
        <v>0.53700000000000003</v>
      </c>
      <c r="E3" s="6"/>
    </row>
    <row r="4" spans="1:18" x14ac:dyDescent="0.35">
      <c r="A4" s="5">
        <v>2025</v>
      </c>
      <c r="B4" s="1" t="s">
        <v>8</v>
      </c>
      <c r="C4" s="9">
        <v>78384241</v>
      </c>
      <c r="D4" s="1">
        <v>0.46899999999999997</v>
      </c>
      <c r="E4" s="6"/>
      <c r="Q4" cm="1">
        <f t="array" ref="Q4:R8">LINEST(D2:D151,C2:C151,TRUE,TRUE)</f>
        <v>4.7788258089493118E-10</v>
      </c>
      <c r="R4">
        <v>0.42391929099210524</v>
      </c>
    </row>
    <row r="5" spans="1:18" x14ac:dyDescent="0.35">
      <c r="A5" s="5">
        <v>2025</v>
      </c>
      <c r="B5" s="1" t="s">
        <v>9</v>
      </c>
      <c r="C5" s="9">
        <v>255230406</v>
      </c>
      <c r="D5" s="1">
        <v>0.57999999999999996</v>
      </c>
      <c r="E5" s="6"/>
      <c r="Q5">
        <v>8.6410372303442248E-11</v>
      </c>
      <c r="R5">
        <v>1.496559836275391E-2</v>
      </c>
    </row>
    <row r="6" spans="1:18" x14ac:dyDescent="0.35">
      <c r="A6" s="5">
        <v>2025</v>
      </c>
      <c r="B6" s="1" t="s">
        <v>10</v>
      </c>
      <c r="C6" s="9">
        <v>220223651</v>
      </c>
      <c r="D6" s="1">
        <v>0.46899999999999997</v>
      </c>
      <c r="E6" s="6"/>
      <c r="Q6">
        <v>0.17126369108875972</v>
      </c>
      <c r="R6">
        <v>7.3122033677956708E-2</v>
      </c>
    </row>
    <row r="7" spans="1:18" x14ac:dyDescent="0.35">
      <c r="A7" s="5">
        <v>2025</v>
      </c>
      <c r="B7" s="1" t="s">
        <v>11</v>
      </c>
      <c r="C7" s="9">
        <v>137618720</v>
      </c>
      <c r="D7" s="1">
        <v>0.59899999999999998</v>
      </c>
      <c r="E7" s="6"/>
      <c r="Q7">
        <v>30.585152368231963</v>
      </c>
      <c r="R7">
        <v>148</v>
      </c>
    </row>
    <row r="8" spans="1:18" x14ac:dyDescent="0.35">
      <c r="A8" s="5">
        <v>2025</v>
      </c>
      <c r="B8" s="1" t="s">
        <v>12</v>
      </c>
      <c r="C8" s="9">
        <v>131152698</v>
      </c>
      <c r="D8" s="1">
        <v>0.48099999999999998</v>
      </c>
      <c r="E8" s="6"/>
      <c r="Q8">
        <v>0.16353366557169857</v>
      </c>
      <c r="R8">
        <v>0.79133110776163484</v>
      </c>
    </row>
    <row r="9" spans="1:18" x14ac:dyDescent="0.35">
      <c r="A9" s="5">
        <v>2025</v>
      </c>
      <c r="B9" s="1" t="s">
        <v>13</v>
      </c>
      <c r="C9" s="9">
        <v>214020073</v>
      </c>
      <c r="D9" s="1">
        <v>0.56799999999999995</v>
      </c>
      <c r="E9" s="6"/>
    </row>
    <row r="10" spans="1:18" x14ac:dyDescent="0.35">
      <c r="A10" s="5">
        <v>2025</v>
      </c>
      <c r="B10" s="1" t="s">
        <v>14</v>
      </c>
      <c r="C10" s="9">
        <v>177424443</v>
      </c>
      <c r="D10" s="1">
        <v>0.49399999999999999</v>
      </c>
      <c r="E10" s="6"/>
    </row>
    <row r="11" spans="1:18" x14ac:dyDescent="0.35">
      <c r="A11" s="5">
        <v>2025</v>
      </c>
      <c r="B11" s="1" t="s">
        <v>15</v>
      </c>
      <c r="C11" s="9">
        <v>350024106</v>
      </c>
      <c r="D11" s="1">
        <v>0.57399999999999995</v>
      </c>
      <c r="E11" s="6"/>
    </row>
    <row r="12" spans="1:18" x14ac:dyDescent="0.35">
      <c r="A12" s="5">
        <v>2025</v>
      </c>
      <c r="B12" s="1" t="s">
        <v>16</v>
      </c>
      <c r="C12" s="9">
        <v>178562152</v>
      </c>
      <c r="D12" s="1">
        <v>0.5</v>
      </c>
      <c r="E12" s="6"/>
    </row>
    <row r="13" spans="1:18" x14ac:dyDescent="0.35">
      <c r="A13" s="5">
        <v>2025</v>
      </c>
      <c r="B13" s="1" t="s">
        <v>17</v>
      </c>
      <c r="C13" s="9">
        <v>100265946</v>
      </c>
      <c r="D13" s="1">
        <v>0.54300000000000004</v>
      </c>
      <c r="E13" s="6"/>
    </row>
    <row r="14" spans="1:18" x14ac:dyDescent="0.35">
      <c r="A14" s="5">
        <v>2025</v>
      </c>
      <c r="B14" s="1" t="s">
        <v>18</v>
      </c>
      <c r="C14" s="9">
        <v>165596493</v>
      </c>
      <c r="D14" s="1">
        <v>0.55600000000000005</v>
      </c>
      <c r="E14" s="6"/>
      <c r="Q14" s="14">
        <f>_xlfn.F.DIST.RT(Q7, 1, 148)</f>
        <v>1.4093342837399633E-7</v>
      </c>
    </row>
    <row r="15" spans="1:18" x14ac:dyDescent="0.35">
      <c r="A15" s="5">
        <v>2025</v>
      </c>
      <c r="B15" s="1" t="s">
        <v>19</v>
      </c>
      <c r="C15" s="9">
        <v>67794627</v>
      </c>
      <c r="D15" s="1">
        <v>0.48799999999999999</v>
      </c>
      <c r="E15" s="6"/>
    </row>
    <row r="16" spans="1:18" x14ac:dyDescent="0.35">
      <c r="A16" s="5">
        <v>2025</v>
      </c>
      <c r="B16" s="1" t="s">
        <v>20</v>
      </c>
      <c r="C16" s="9">
        <v>342303011</v>
      </c>
      <c r="D16" s="1">
        <v>0.51200000000000001</v>
      </c>
      <c r="E16" s="6"/>
    </row>
    <row r="17" spans="1:11" x14ac:dyDescent="0.35">
      <c r="A17" s="5">
        <v>2025</v>
      </c>
      <c r="B17" s="1" t="s">
        <v>21</v>
      </c>
      <c r="C17" s="10">
        <v>109465924</v>
      </c>
      <c r="D17" s="1">
        <v>0.40699999999999997</v>
      </c>
      <c r="E17" s="6"/>
    </row>
    <row r="18" spans="1:11" x14ac:dyDescent="0.35">
      <c r="A18" s="5">
        <v>2025</v>
      </c>
      <c r="B18" s="1" t="s">
        <v>22</v>
      </c>
      <c r="C18" s="9">
        <v>158571377</v>
      </c>
      <c r="D18" s="1">
        <v>0.46300000000000002</v>
      </c>
      <c r="E18" s="6"/>
    </row>
    <row r="19" spans="1:11" x14ac:dyDescent="0.35">
      <c r="A19" s="5">
        <v>2025</v>
      </c>
      <c r="B19" s="1" t="s">
        <v>23</v>
      </c>
      <c r="C19" s="9">
        <v>223125239</v>
      </c>
      <c r="D19" s="1">
        <v>0.438</v>
      </c>
      <c r="E19" s="6"/>
    </row>
    <row r="20" spans="1:11" x14ac:dyDescent="0.35">
      <c r="A20" s="5">
        <v>2025</v>
      </c>
      <c r="B20" s="1" t="s">
        <v>24</v>
      </c>
      <c r="C20" s="9">
        <v>293240191</v>
      </c>
      <c r="D20" s="1">
        <v>0.59299999999999997</v>
      </c>
      <c r="E20" s="6"/>
    </row>
    <row r="21" spans="1:11" x14ac:dyDescent="0.35">
      <c r="A21" s="5">
        <v>2025</v>
      </c>
      <c r="B21" s="1" t="s">
        <v>26</v>
      </c>
      <c r="C21" s="10">
        <v>84423338</v>
      </c>
      <c r="D21" s="1">
        <v>0.47499999999999998</v>
      </c>
      <c r="E21" s="6"/>
      <c r="K21" t="s">
        <v>25</v>
      </c>
    </row>
    <row r="22" spans="1:11" x14ac:dyDescent="0.35">
      <c r="A22" s="5">
        <v>2025</v>
      </c>
      <c r="B22" s="1" t="s">
        <v>27</v>
      </c>
      <c r="C22" s="10">
        <v>226526491</v>
      </c>
      <c r="D22" s="1">
        <v>0.54900000000000004</v>
      </c>
      <c r="E22" s="6"/>
    </row>
    <row r="23" spans="1:11" x14ac:dyDescent="0.35">
      <c r="A23" s="5">
        <v>2025</v>
      </c>
      <c r="B23" s="1" t="s">
        <v>28</v>
      </c>
      <c r="C23" s="10">
        <v>88629788</v>
      </c>
      <c r="D23" s="1">
        <v>0.50600000000000001</v>
      </c>
      <c r="E23" s="6"/>
    </row>
    <row r="24" spans="1:11" x14ac:dyDescent="0.35">
      <c r="A24" s="5">
        <v>2025</v>
      </c>
      <c r="B24" s="1" t="s">
        <v>29</v>
      </c>
      <c r="C24" s="9">
        <v>203658855</v>
      </c>
      <c r="D24" s="1">
        <v>0.51200000000000001</v>
      </c>
      <c r="E24" s="6"/>
    </row>
    <row r="25" spans="1:11" x14ac:dyDescent="0.35">
      <c r="A25" s="5">
        <v>2025</v>
      </c>
      <c r="B25" s="1" t="s">
        <v>30</v>
      </c>
      <c r="C25" s="10">
        <v>119036486</v>
      </c>
      <c r="D25" s="1">
        <v>0.37</v>
      </c>
      <c r="E25" s="6"/>
    </row>
    <row r="26" spans="1:11" x14ac:dyDescent="0.35">
      <c r="A26" s="5">
        <v>2025</v>
      </c>
      <c r="B26" s="1" t="s">
        <v>31</v>
      </c>
      <c r="C26" s="10">
        <v>127325786</v>
      </c>
      <c r="D26" s="1">
        <v>0.53700000000000003</v>
      </c>
      <c r="E26" s="6"/>
    </row>
    <row r="27" spans="1:11" x14ac:dyDescent="0.35">
      <c r="A27" s="5">
        <v>2025</v>
      </c>
      <c r="B27" s="1" t="s">
        <v>32</v>
      </c>
      <c r="C27" s="10">
        <v>133630058</v>
      </c>
      <c r="D27" s="1">
        <v>0.432</v>
      </c>
      <c r="E27" s="6"/>
    </row>
    <row r="28" spans="1:11" x14ac:dyDescent="0.35">
      <c r="A28" s="5">
        <v>2025</v>
      </c>
      <c r="B28" s="1" t="s">
        <v>33</v>
      </c>
      <c r="C28" s="10">
        <v>157542361</v>
      </c>
      <c r="D28" s="1">
        <v>0.53700000000000003</v>
      </c>
      <c r="E28" s="6"/>
    </row>
    <row r="29" spans="1:11" x14ac:dyDescent="0.35">
      <c r="A29" s="5">
        <v>2025</v>
      </c>
      <c r="B29" s="1" t="s">
        <v>34</v>
      </c>
      <c r="C29" s="9">
        <v>129650732</v>
      </c>
      <c r="D29" s="1">
        <v>0.432</v>
      </c>
      <c r="E29" s="6"/>
    </row>
    <row r="30" spans="1:11" x14ac:dyDescent="0.35">
      <c r="A30" s="5">
        <v>2025</v>
      </c>
      <c r="B30" s="1" t="s">
        <v>35</v>
      </c>
      <c r="C30" s="9">
        <v>79960763</v>
      </c>
      <c r="D30" s="1">
        <v>0.37</v>
      </c>
      <c r="E30" s="6"/>
    </row>
    <row r="31" spans="1:11" x14ac:dyDescent="0.35">
      <c r="A31" s="5">
        <v>2025</v>
      </c>
      <c r="B31" s="1" t="s">
        <v>36</v>
      </c>
      <c r="C31" s="9">
        <v>304091683</v>
      </c>
      <c r="D31" s="1">
        <v>0.57999999999999996</v>
      </c>
      <c r="E31" s="6"/>
    </row>
    <row r="32" spans="1:11" x14ac:dyDescent="0.35">
      <c r="A32" s="5">
        <v>2024</v>
      </c>
      <c r="B32" s="1" t="s">
        <v>6</v>
      </c>
      <c r="C32" s="10">
        <v>171986921</v>
      </c>
      <c r="D32" s="1">
        <v>0.38900000000000001</v>
      </c>
      <c r="E32" s="6"/>
    </row>
    <row r="33" spans="1:5" x14ac:dyDescent="0.35">
      <c r="A33" s="5">
        <v>2024</v>
      </c>
      <c r="B33" s="1" t="s">
        <v>7</v>
      </c>
      <c r="C33" s="9">
        <v>248670553</v>
      </c>
      <c r="D33" s="1">
        <v>0.54700000000000004</v>
      </c>
      <c r="E33" s="6"/>
    </row>
    <row r="34" spans="1:5" x14ac:dyDescent="0.35">
      <c r="A34" s="5">
        <v>2024</v>
      </c>
      <c r="B34" s="1" t="s">
        <v>8</v>
      </c>
      <c r="C34" s="9">
        <v>63503127</v>
      </c>
      <c r="D34" s="1">
        <v>0.42599999999999999</v>
      </c>
      <c r="E34" s="6"/>
    </row>
    <row r="35" spans="1:5" x14ac:dyDescent="0.35">
      <c r="A35" s="5">
        <v>2024</v>
      </c>
      <c r="B35" s="1" t="s">
        <v>9</v>
      </c>
      <c r="C35" s="9">
        <v>219180044</v>
      </c>
      <c r="D35" s="1">
        <v>0.45700000000000002</v>
      </c>
      <c r="E35" s="6"/>
    </row>
    <row r="36" spans="1:5" x14ac:dyDescent="0.35">
      <c r="A36" s="5">
        <v>2024</v>
      </c>
      <c r="B36" s="1" t="s">
        <v>10</v>
      </c>
      <c r="C36" s="10">
        <v>238108491</v>
      </c>
      <c r="D36" s="1">
        <v>0.54900000000000004</v>
      </c>
      <c r="E36" s="6"/>
    </row>
    <row r="37" spans="1:5" x14ac:dyDescent="0.35">
      <c r="A37" s="5">
        <v>2024</v>
      </c>
      <c r="B37" s="1" t="s">
        <v>11</v>
      </c>
      <c r="C37" s="10">
        <v>124643685</v>
      </c>
      <c r="D37" s="1">
        <v>0.57399999999999995</v>
      </c>
      <c r="E37" s="6"/>
    </row>
    <row r="38" spans="1:5" x14ac:dyDescent="0.35">
      <c r="A38" s="5">
        <v>2024</v>
      </c>
      <c r="B38" s="1" t="s">
        <v>12</v>
      </c>
      <c r="C38" s="9">
        <v>179440274</v>
      </c>
      <c r="D38" s="1">
        <v>0.51200000000000001</v>
      </c>
      <c r="E38" s="6"/>
    </row>
    <row r="39" spans="1:5" x14ac:dyDescent="0.35">
      <c r="A39" s="5">
        <v>2024</v>
      </c>
      <c r="B39" s="1" t="s">
        <v>13</v>
      </c>
      <c r="C39" s="9">
        <v>231700554</v>
      </c>
      <c r="D39" s="1">
        <v>0.51200000000000001</v>
      </c>
      <c r="E39" s="6"/>
    </row>
    <row r="40" spans="1:5" x14ac:dyDescent="0.35">
      <c r="A40" s="5">
        <v>2024</v>
      </c>
      <c r="B40" s="1" t="s">
        <v>14</v>
      </c>
      <c r="C40" s="10">
        <v>178427194</v>
      </c>
      <c r="D40" s="1">
        <v>0.54900000000000004</v>
      </c>
      <c r="E40" s="6"/>
    </row>
    <row r="41" spans="1:5" x14ac:dyDescent="0.35">
      <c r="A41" s="5">
        <v>2024</v>
      </c>
      <c r="B41" s="1" t="s">
        <v>15</v>
      </c>
      <c r="C41" s="9">
        <v>266640208</v>
      </c>
      <c r="D41" s="1">
        <v>0.60499999999999998</v>
      </c>
      <c r="E41" s="6"/>
    </row>
    <row r="42" spans="1:5" x14ac:dyDescent="0.35">
      <c r="A42" s="5">
        <v>2024</v>
      </c>
      <c r="B42" s="1" t="s">
        <v>16</v>
      </c>
      <c r="C42" s="9">
        <v>207092069</v>
      </c>
      <c r="D42" s="1">
        <v>0.49399999999999999</v>
      </c>
      <c r="E42" s="6"/>
    </row>
    <row r="43" spans="1:5" x14ac:dyDescent="0.35">
      <c r="A43" s="5">
        <v>2024</v>
      </c>
      <c r="B43" s="1" t="s">
        <v>17</v>
      </c>
      <c r="C43" s="9">
        <v>107113214</v>
      </c>
      <c r="D43" s="1">
        <v>0.57099999999999995</v>
      </c>
      <c r="E43" s="6"/>
    </row>
    <row r="44" spans="1:5" x14ac:dyDescent="0.35">
      <c r="A44" s="5">
        <v>2024</v>
      </c>
      <c r="B44" s="1" t="s">
        <v>18</v>
      </c>
      <c r="C44" s="9">
        <v>149346087</v>
      </c>
      <c r="D44" s="1">
        <v>0.52500000000000002</v>
      </c>
      <c r="E44" s="6"/>
    </row>
    <row r="45" spans="1:5" x14ac:dyDescent="0.35">
      <c r="A45" s="5">
        <v>2024</v>
      </c>
      <c r="B45" s="1" t="s">
        <v>19</v>
      </c>
      <c r="C45" s="9">
        <v>97569865</v>
      </c>
      <c r="D45" s="1">
        <v>0.38300000000000001</v>
      </c>
      <c r="E45" s="6"/>
    </row>
    <row r="46" spans="1:5" x14ac:dyDescent="0.35">
      <c r="A46" s="5">
        <v>2024</v>
      </c>
      <c r="B46" s="1" t="s">
        <v>20</v>
      </c>
      <c r="C46" s="9">
        <v>322960494</v>
      </c>
      <c r="D46" s="1">
        <v>0.54900000000000004</v>
      </c>
      <c r="E46" s="6"/>
    </row>
    <row r="47" spans="1:5" x14ac:dyDescent="0.35">
      <c r="A47" s="5">
        <v>2024</v>
      </c>
      <c r="B47" s="1" t="s">
        <v>21</v>
      </c>
      <c r="C47" s="9">
        <v>107128130</v>
      </c>
      <c r="D47" s="1">
        <v>0.438</v>
      </c>
      <c r="E47" s="6"/>
    </row>
    <row r="48" spans="1:5" x14ac:dyDescent="0.35">
      <c r="A48" s="5">
        <v>2024</v>
      </c>
      <c r="B48" s="1" t="s">
        <v>22</v>
      </c>
      <c r="C48" s="9">
        <v>111309008</v>
      </c>
      <c r="D48" s="1">
        <v>0.56200000000000006</v>
      </c>
      <c r="E48" s="6"/>
    </row>
    <row r="49" spans="1:5" x14ac:dyDescent="0.35">
      <c r="A49" s="5">
        <v>2024</v>
      </c>
      <c r="B49" s="1" t="s">
        <v>23</v>
      </c>
      <c r="C49" s="10">
        <v>172855090</v>
      </c>
      <c r="D49" s="1">
        <v>0.57399999999999995</v>
      </c>
      <c r="E49" s="6"/>
    </row>
    <row r="50" spans="1:5" x14ac:dyDescent="0.35">
      <c r="A50" s="5">
        <v>2024</v>
      </c>
      <c r="B50" s="1" t="s">
        <v>24</v>
      </c>
      <c r="C50" s="9">
        <v>244253627</v>
      </c>
      <c r="D50" s="1">
        <v>0.58599999999999997</v>
      </c>
      <c r="E50" s="6"/>
    </row>
    <row r="51" spans="1:5" x14ac:dyDescent="0.35">
      <c r="A51" s="5">
        <v>2024</v>
      </c>
      <c r="B51" s="1" t="s">
        <v>26</v>
      </c>
      <c r="C51" s="9">
        <v>85405037</v>
      </c>
      <c r="D51" s="1">
        <v>0.442</v>
      </c>
      <c r="E51" s="6"/>
    </row>
    <row r="52" spans="1:5" x14ac:dyDescent="0.35">
      <c r="A52" s="5">
        <v>2024</v>
      </c>
      <c r="B52" s="1" t="s">
        <v>27</v>
      </c>
      <c r="C52" s="9">
        <v>227545408</v>
      </c>
      <c r="D52" s="1">
        <v>0.48099999999999998</v>
      </c>
      <c r="E52" s="6"/>
    </row>
    <row r="53" spans="1:5" x14ac:dyDescent="0.35">
      <c r="A53" s="5">
        <v>2024</v>
      </c>
      <c r="B53" s="1" t="s">
        <v>28</v>
      </c>
      <c r="C53" s="9">
        <v>89852001</v>
      </c>
      <c r="D53" s="1">
        <v>0.49399999999999999</v>
      </c>
      <c r="E53" s="6"/>
    </row>
    <row r="54" spans="1:5" x14ac:dyDescent="0.35">
      <c r="A54" s="5">
        <v>2024</v>
      </c>
      <c r="B54" s="1" t="s">
        <v>29</v>
      </c>
      <c r="C54" s="9">
        <v>190176844</v>
      </c>
      <c r="D54" s="1">
        <v>0.5</v>
      </c>
      <c r="E54" s="6"/>
    </row>
    <row r="55" spans="1:5" x14ac:dyDescent="0.35">
      <c r="A55" s="5">
        <v>2024</v>
      </c>
      <c r="B55" s="1" t="s">
        <v>30</v>
      </c>
      <c r="C55" s="9">
        <v>102298823</v>
      </c>
      <c r="D55" s="1">
        <v>0.47499999999999998</v>
      </c>
      <c r="E55" s="6"/>
    </row>
    <row r="56" spans="1:5" x14ac:dyDescent="0.35">
      <c r="A56" s="5">
        <v>2024</v>
      </c>
      <c r="B56" s="1" t="s">
        <v>31</v>
      </c>
      <c r="C56" s="9">
        <v>147506521</v>
      </c>
      <c r="D56" s="1">
        <v>0.377</v>
      </c>
      <c r="E56" s="6"/>
    </row>
    <row r="57" spans="1:5" x14ac:dyDescent="0.35">
      <c r="A57" s="5">
        <v>2024</v>
      </c>
      <c r="B57" s="1" t="s">
        <v>32</v>
      </c>
      <c r="C57" s="10">
        <v>125570914</v>
      </c>
      <c r="D57" s="1">
        <v>0.53100000000000003</v>
      </c>
      <c r="E57" s="6"/>
    </row>
    <row r="58" spans="1:5" x14ac:dyDescent="0.35">
      <c r="A58" s="5">
        <v>2024</v>
      </c>
      <c r="B58" s="1" t="s">
        <v>33</v>
      </c>
      <c r="C58" s="10">
        <v>98607894</v>
      </c>
      <c r="D58" s="1">
        <v>0.53100000000000003</v>
      </c>
      <c r="E58" s="6"/>
    </row>
    <row r="59" spans="1:5" x14ac:dyDescent="0.35">
      <c r="A59" s="5">
        <v>2024</v>
      </c>
      <c r="B59" s="1" t="s">
        <v>34</v>
      </c>
      <c r="C59" s="10">
        <v>131225880</v>
      </c>
      <c r="D59" s="1">
        <v>0.50600000000000001</v>
      </c>
      <c r="E59" s="6"/>
    </row>
    <row r="60" spans="1:5" x14ac:dyDescent="0.35">
      <c r="A60" s="5">
        <v>2024</v>
      </c>
      <c r="B60" s="1" t="s">
        <v>35</v>
      </c>
      <c r="C60" s="10">
        <v>142916866</v>
      </c>
      <c r="D60" s="1">
        <v>0.253</v>
      </c>
      <c r="E60" s="6"/>
    </row>
    <row r="61" spans="1:5" x14ac:dyDescent="0.35">
      <c r="A61" s="5">
        <v>2024</v>
      </c>
      <c r="B61" s="1" t="s">
        <v>36</v>
      </c>
      <c r="C61" s="9">
        <v>315616982</v>
      </c>
      <c r="D61" s="1">
        <v>0.57999999999999996</v>
      </c>
      <c r="E61" s="6"/>
    </row>
    <row r="62" spans="1:5" x14ac:dyDescent="0.35">
      <c r="A62" s="5">
        <v>2023</v>
      </c>
      <c r="B62" s="1" t="s">
        <v>6</v>
      </c>
      <c r="C62" s="11">
        <v>230534276</v>
      </c>
      <c r="D62" s="1">
        <v>0.45100000000000001</v>
      </c>
      <c r="E62" s="6"/>
    </row>
    <row r="63" spans="1:5" x14ac:dyDescent="0.35">
      <c r="A63" s="5">
        <v>2023</v>
      </c>
      <c r="B63" s="1" t="s">
        <v>7</v>
      </c>
      <c r="C63" s="11">
        <v>237107748</v>
      </c>
      <c r="D63" s="1">
        <v>0.55600000000000005</v>
      </c>
      <c r="E63" s="6"/>
    </row>
    <row r="64" spans="1:5" x14ac:dyDescent="0.35">
      <c r="A64" s="5">
        <v>2023</v>
      </c>
      <c r="B64" s="1" t="s">
        <v>8</v>
      </c>
      <c r="C64" s="11">
        <v>62258711</v>
      </c>
      <c r="D64" s="1">
        <v>0.309</v>
      </c>
      <c r="E64" s="6"/>
    </row>
    <row r="65" spans="1:5" x14ac:dyDescent="0.35">
      <c r="A65" s="5">
        <v>2023</v>
      </c>
      <c r="B65" s="1" t="s">
        <v>9</v>
      </c>
      <c r="C65" s="12">
        <v>214916600</v>
      </c>
      <c r="D65" s="1">
        <v>0.54900000000000004</v>
      </c>
      <c r="E65" s="6"/>
    </row>
    <row r="66" spans="1:5" x14ac:dyDescent="0.35">
      <c r="A66" s="5">
        <v>2023</v>
      </c>
      <c r="B66" s="1" t="s">
        <v>10</v>
      </c>
      <c r="C66" s="11">
        <v>206424932</v>
      </c>
      <c r="D66" s="1">
        <v>0.64200000000000002</v>
      </c>
      <c r="E66" s="6"/>
    </row>
    <row r="67" spans="1:5" x14ac:dyDescent="0.35">
      <c r="A67" s="5">
        <v>2023</v>
      </c>
      <c r="B67" s="1" t="s">
        <v>11</v>
      </c>
      <c r="C67" s="12">
        <v>129339624</v>
      </c>
      <c r="D67" s="1">
        <v>0.56799999999999995</v>
      </c>
      <c r="E67" s="6"/>
    </row>
    <row r="68" spans="1:5" x14ac:dyDescent="0.35">
      <c r="A68" s="5">
        <v>2023</v>
      </c>
      <c r="B68" s="1" t="s">
        <v>12</v>
      </c>
      <c r="C68" s="11">
        <v>153793028</v>
      </c>
      <c r="D68" s="1">
        <v>0.438</v>
      </c>
      <c r="E68" s="6"/>
    </row>
    <row r="69" spans="1:5" x14ac:dyDescent="0.35">
      <c r="A69" s="5">
        <v>2023</v>
      </c>
      <c r="B69" s="1" t="s">
        <v>13</v>
      </c>
      <c r="C69" s="9">
        <v>189869996</v>
      </c>
      <c r="D69" s="1">
        <v>0.51200000000000001</v>
      </c>
      <c r="E69" s="6"/>
    </row>
    <row r="70" spans="1:5" x14ac:dyDescent="0.35">
      <c r="A70" s="5">
        <v>2023</v>
      </c>
      <c r="B70" s="1" t="s">
        <v>14</v>
      </c>
      <c r="C70" s="12">
        <v>119296377</v>
      </c>
      <c r="D70" s="1">
        <v>0.51900000000000002</v>
      </c>
      <c r="E70" s="6"/>
    </row>
    <row r="71" spans="1:5" x14ac:dyDescent="0.35">
      <c r="A71" s="5">
        <v>2023</v>
      </c>
      <c r="B71" s="1" t="s">
        <v>15</v>
      </c>
      <c r="C71" s="12">
        <v>235747111</v>
      </c>
      <c r="D71" s="1">
        <v>0.61699999999999999</v>
      </c>
      <c r="E71" s="6"/>
    </row>
    <row r="72" spans="1:5" x14ac:dyDescent="0.35">
      <c r="A72" s="5">
        <v>2023</v>
      </c>
      <c r="B72" s="1" t="s">
        <v>16</v>
      </c>
      <c r="C72" s="12">
        <v>189413646</v>
      </c>
      <c r="D72" s="1">
        <v>0.48799999999999999</v>
      </c>
      <c r="E72" s="6"/>
    </row>
    <row r="73" spans="1:5" x14ac:dyDescent="0.35">
      <c r="A73" s="5">
        <v>2023</v>
      </c>
      <c r="B73" s="1" t="s">
        <v>17</v>
      </c>
      <c r="C73" s="11">
        <v>92103949</v>
      </c>
      <c r="D73" s="1">
        <v>0.46899999999999997</v>
      </c>
      <c r="E73" s="6"/>
    </row>
    <row r="74" spans="1:5" x14ac:dyDescent="0.35">
      <c r="A74" s="5">
        <v>2023</v>
      </c>
      <c r="B74" s="1" t="s">
        <v>18</v>
      </c>
      <c r="C74" s="12">
        <v>127993987</v>
      </c>
      <c r="D74" s="1">
        <v>0.54300000000000004</v>
      </c>
      <c r="E74" s="6"/>
    </row>
    <row r="75" spans="1:5" x14ac:dyDescent="0.35">
      <c r="A75" s="5">
        <v>2023</v>
      </c>
      <c r="B75" s="1" t="s">
        <v>19</v>
      </c>
      <c r="C75" s="12">
        <v>105435809</v>
      </c>
      <c r="D75" s="1">
        <v>0.51900000000000002</v>
      </c>
      <c r="E75" s="6"/>
    </row>
    <row r="76" spans="1:5" x14ac:dyDescent="0.35">
      <c r="A76" s="5">
        <v>2023</v>
      </c>
      <c r="B76" s="1" t="s">
        <v>20</v>
      </c>
      <c r="C76" s="12">
        <v>347949991</v>
      </c>
      <c r="D76" s="1">
        <v>0.46300000000000002</v>
      </c>
      <c r="E76" s="6"/>
    </row>
    <row r="77" spans="1:5" x14ac:dyDescent="0.35">
      <c r="A77" s="5">
        <v>2023</v>
      </c>
      <c r="B77" s="1" t="s">
        <v>21</v>
      </c>
      <c r="C77" s="11">
        <v>93383875</v>
      </c>
      <c r="D77" s="1">
        <v>0.438</v>
      </c>
      <c r="E77" s="6"/>
    </row>
    <row r="78" spans="1:5" x14ac:dyDescent="0.35">
      <c r="A78" s="5">
        <v>2023</v>
      </c>
      <c r="B78" s="1" t="s">
        <v>22</v>
      </c>
      <c r="C78" s="11">
        <v>71064917</v>
      </c>
      <c r="D78" s="1">
        <v>0.623</v>
      </c>
      <c r="E78" s="6"/>
    </row>
    <row r="79" spans="1:5" x14ac:dyDescent="0.35">
      <c r="A79" s="5">
        <v>2023</v>
      </c>
      <c r="B79" s="1" t="s">
        <v>23</v>
      </c>
      <c r="C79" s="11">
        <v>256049558</v>
      </c>
      <c r="D79" s="1">
        <v>0.50600000000000001</v>
      </c>
      <c r="E79" s="6"/>
    </row>
    <row r="80" spans="1:5" x14ac:dyDescent="0.35">
      <c r="A80" s="5">
        <v>2023</v>
      </c>
      <c r="B80" s="1" t="s">
        <v>24</v>
      </c>
      <c r="C80" s="11">
        <v>245410961</v>
      </c>
      <c r="D80" s="1">
        <v>0.55600000000000005</v>
      </c>
      <c r="E80" s="6"/>
    </row>
    <row r="81" spans="1:5" x14ac:dyDescent="0.35">
      <c r="A81" s="5">
        <v>2023</v>
      </c>
      <c r="B81" s="1" t="s">
        <v>26</v>
      </c>
      <c r="C81" s="11">
        <v>75734681</v>
      </c>
      <c r="D81" s="1">
        <v>0.46899999999999997</v>
      </c>
      <c r="E81" s="6"/>
    </row>
    <row r="82" spans="1:5" x14ac:dyDescent="0.35">
      <c r="A82" s="5">
        <v>2023</v>
      </c>
      <c r="B82" s="1" t="s">
        <v>27</v>
      </c>
      <c r="C82" s="11">
        <v>251332754</v>
      </c>
      <c r="D82" s="1">
        <v>0.55600000000000005</v>
      </c>
      <c r="E82" s="6"/>
    </row>
    <row r="83" spans="1:5" x14ac:dyDescent="0.35">
      <c r="A83" s="5">
        <v>2023</v>
      </c>
      <c r="B83" s="1" t="s">
        <v>28</v>
      </c>
      <c r="C83" s="11">
        <v>79354272</v>
      </c>
      <c r="D83" s="1">
        <v>0.61099999999999999</v>
      </c>
      <c r="E83" s="6"/>
    </row>
    <row r="84" spans="1:5" x14ac:dyDescent="0.35">
      <c r="A84" s="5">
        <v>2023</v>
      </c>
      <c r="B84" s="1" t="s">
        <v>29</v>
      </c>
      <c r="C84" s="11">
        <v>182930664</v>
      </c>
      <c r="D84" s="1">
        <v>0.48099999999999998</v>
      </c>
      <c r="E84" s="6"/>
    </row>
    <row r="85" spans="1:5" x14ac:dyDescent="0.35">
      <c r="A85" s="5">
        <v>2023</v>
      </c>
      <c r="B85" s="1" t="s">
        <v>30</v>
      </c>
      <c r="C85" s="12">
        <v>95731662</v>
      </c>
      <c r="D85" s="1">
        <v>0.50600000000000001</v>
      </c>
      <c r="E85" s="6"/>
    </row>
    <row r="86" spans="1:5" x14ac:dyDescent="0.35">
      <c r="A86" s="5">
        <v>2023</v>
      </c>
      <c r="B86" s="1" t="s">
        <v>31</v>
      </c>
      <c r="C86" s="12">
        <v>171240555</v>
      </c>
      <c r="D86" s="1">
        <v>0.36399999999999999</v>
      </c>
      <c r="E86" s="6"/>
    </row>
    <row r="87" spans="1:5" x14ac:dyDescent="0.35">
      <c r="A87" s="5">
        <v>2023</v>
      </c>
      <c r="B87" s="1" t="s">
        <v>32</v>
      </c>
      <c r="C87" s="11">
        <v>96083853</v>
      </c>
      <c r="D87" s="1">
        <v>0.34599999999999997</v>
      </c>
      <c r="E87" s="6"/>
    </row>
    <row r="88" spans="1:5" x14ac:dyDescent="0.35">
      <c r="A88" s="5">
        <v>2023</v>
      </c>
      <c r="B88" s="1" t="s">
        <v>33</v>
      </c>
      <c r="C88" s="11">
        <v>121474919</v>
      </c>
      <c r="D88" s="1">
        <v>0.48099999999999998</v>
      </c>
      <c r="E88" s="6"/>
    </row>
    <row r="89" spans="1:5" x14ac:dyDescent="0.35">
      <c r="A89" s="5">
        <v>2023</v>
      </c>
      <c r="B89" s="1" t="s">
        <v>34</v>
      </c>
      <c r="C89" s="11">
        <v>156104540</v>
      </c>
      <c r="D89" s="1">
        <v>0.53700000000000003</v>
      </c>
      <c r="E89" s="6"/>
    </row>
    <row r="90" spans="1:5" x14ac:dyDescent="0.35">
      <c r="A90" s="5">
        <v>2023</v>
      </c>
      <c r="B90" s="1" t="s">
        <v>35</v>
      </c>
      <c r="C90" s="11">
        <v>162867704</v>
      </c>
      <c r="D90" s="1">
        <v>0.377</v>
      </c>
      <c r="E90" s="6"/>
    </row>
    <row r="91" spans="1:5" x14ac:dyDescent="0.35">
      <c r="A91" s="5">
        <v>2023</v>
      </c>
      <c r="B91" s="1" t="s">
        <v>36</v>
      </c>
      <c r="C91" s="12">
        <v>278747922</v>
      </c>
      <c r="D91" s="1">
        <v>0.50600000000000001</v>
      </c>
      <c r="E91" s="6"/>
    </row>
    <row r="92" spans="1:5" x14ac:dyDescent="0.35">
      <c r="A92" s="5">
        <v>2022</v>
      </c>
      <c r="B92" s="1" t="s">
        <v>6</v>
      </c>
      <c r="C92" s="11">
        <v>179877811</v>
      </c>
      <c r="D92" s="1">
        <v>0.45100000000000001</v>
      </c>
      <c r="E92" s="6"/>
    </row>
    <row r="93" spans="1:5" x14ac:dyDescent="0.35">
      <c r="A93" s="5">
        <v>2022</v>
      </c>
      <c r="B93" s="1" t="s">
        <v>7</v>
      </c>
      <c r="C93" s="12">
        <v>183791796</v>
      </c>
      <c r="D93" s="1">
        <v>0.65400000000000003</v>
      </c>
      <c r="E93" s="6"/>
    </row>
    <row r="94" spans="1:5" x14ac:dyDescent="0.35">
      <c r="A94" s="5">
        <v>2022</v>
      </c>
      <c r="B94" s="1" t="s">
        <v>8</v>
      </c>
      <c r="C94" s="12">
        <v>48443900</v>
      </c>
      <c r="D94" s="1">
        <v>0.37</v>
      </c>
      <c r="E94" s="6"/>
    </row>
    <row r="95" spans="1:5" x14ac:dyDescent="0.35">
      <c r="A95" s="5">
        <v>2022</v>
      </c>
      <c r="B95" s="1" t="s">
        <v>9</v>
      </c>
      <c r="C95" s="12">
        <v>177287681</v>
      </c>
      <c r="D95" s="1">
        <v>0.56799999999999995</v>
      </c>
      <c r="E95" s="6"/>
    </row>
    <row r="96" spans="1:5" x14ac:dyDescent="0.35">
      <c r="A96" s="5">
        <v>2022</v>
      </c>
      <c r="B96" s="1" t="s">
        <v>10</v>
      </c>
      <c r="C96" s="12">
        <v>179935585</v>
      </c>
      <c r="D96" s="1">
        <v>0.623</v>
      </c>
      <c r="E96" s="6"/>
    </row>
    <row r="97" spans="1:5" x14ac:dyDescent="0.35">
      <c r="A97" s="5">
        <v>2022</v>
      </c>
      <c r="B97" s="1" t="s">
        <v>11</v>
      </c>
      <c r="C97" s="12">
        <v>133086663</v>
      </c>
      <c r="D97" s="1">
        <v>0.53100000000000003</v>
      </c>
      <c r="E97" s="6"/>
    </row>
    <row r="98" spans="1:5" x14ac:dyDescent="0.35">
      <c r="A98" s="5">
        <v>2022</v>
      </c>
      <c r="B98" s="1" t="s">
        <v>12</v>
      </c>
      <c r="C98" s="12">
        <v>156428325</v>
      </c>
      <c r="D98" s="1">
        <v>0.57399999999999995</v>
      </c>
      <c r="E98" s="6"/>
    </row>
    <row r="99" spans="1:5" x14ac:dyDescent="0.35">
      <c r="A99" s="5">
        <v>2022</v>
      </c>
      <c r="B99" s="1" t="s">
        <v>13</v>
      </c>
      <c r="C99" s="12">
        <v>151054737</v>
      </c>
      <c r="D99" s="1">
        <v>0.45700000000000002</v>
      </c>
      <c r="E99" s="6"/>
    </row>
    <row r="100" spans="1:5" x14ac:dyDescent="0.35">
      <c r="A100" s="5">
        <v>2022</v>
      </c>
      <c r="B100" s="1" t="s">
        <v>14</v>
      </c>
      <c r="C100" s="12">
        <v>85966193</v>
      </c>
      <c r="D100" s="1">
        <v>0.45700000000000002</v>
      </c>
      <c r="E100" s="6"/>
    </row>
    <row r="101" spans="1:5" x14ac:dyDescent="0.35">
      <c r="A101" s="5">
        <v>2022</v>
      </c>
      <c r="B101" s="1" t="s">
        <v>15</v>
      </c>
      <c r="C101" s="11">
        <v>264996019</v>
      </c>
      <c r="D101" s="1">
        <v>0.68500000000000005</v>
      </c>
      <c r="E101" s="6"/>
    </row>
    <row r="102" spans="1:5" x14ac:dyDescent="0.35">
      <c r="A102" s="5">
        <v>2022</v>
      </c>
      <c r="B102" s="1" t="s">
        <v>16</v>
      </c>
      <c r="C102" s="11">
        <v>162453046</v>
      </c>
      <c r="D102" s="1">
        <v>0.5</v>
      </c>
      <c r="E102" s="6"/>
    </row>
    <row r="103" spans="1:5" x14ac:dyDescent="0.35">
      <c r="A103" s="5">
        <v>2022</v>
      </c>
      <c r="B103" s="1" t="s">
        <v>17</v>
      </c>
      <c r="C103" s="11">
        <v>66717694</v>
      </c>
      <c r="D103" s="1">
        <v>0.56799999999999995</v>
      </c>
      <c r="E103" s="6"/>
    </row>
    <row r="104" spans="1:5" x14ac:dyDescent="0.35">
      <c r="A104" s="5">
        <v>2022</v>
      </c>
      <c r="B104" s="1" t="s">
        <v>18</v>
      </c>
      <c r="C104" s="12">
        <v>113926407</v>
      </c>
      <c r="D104" s="1">
        <v>0.55600000000000005</v>
      </c>
      <c r="E104" s="6"/>
    </row>
    <row r="105" spans="1:5" x14ac:dyDescent="0.35">
      <c r="A105" s="5">
        <v>2022</v>
      </c>
      <c r="B105" s="1" t="s">
        <v>19</v>
      </c>
      <c r="C105" s="12">
        <v>88452043</v>
      </c>
      <c r="D105" s="1">
        <v>0.42599999999999999</v>
      </c>
      <c r="E105" s="6"/>
    </row>
    <row r="106" spans="1:5" x14ac:dyDescent="0.35">
      <c r="A106" s="5">
        <v>2022</v>
      </c>
      <c r="B106" s="1" t="s">
        <v>20</v>
      </c>
      <c r="C106" s="11">
        <v>266670327</v>
      </c>
      <c r="D106" s="1">
        <v>0.623</v>
      </c>
      <c r="E106" s="6"/>
    </row>
    <row r="107" spans="1:5" x14ac:dyDescent="0.35">
      <c r="A107" s="5">
        <v>2022</v>
      </c>
      <c r="B107" s="1" t="s">
        <v>21</v>
      </c>
      <c r="C107" s="12">
        <v>126782278</v>
      </c>
      <c r="D107" s="1">
        <v>0.34</v>
      </c>
      <c r="E107" s="6"/>
    </row>
    <row r="108" spans="1:5" x14ac:dyDescent="0.35">
      <c r="A108" s="5">
        <v>2022</v>
      </c>
      <c r="B108" s="1" t="s">
        <v>22</v>
      </c>
      <c r="C108" s="12">
        <v>44888388</v>
      </c>
      <c r="D108" s="1">
        <v>0.51200000000000001</v>
      </c>
      <c r="E108" s="6"/>
    </row>
    <row r="109" spans="1:5" x14ac:dyDescent="0.35">
      <c r="A109" s="5">
        <v>2022</v>
      </c>
      <c r="B109" s="1" t="s">
        <v>23</v>
      </c>
      <c r="C109" s="12">
        <v>224492122</v>
      </c>
      <c r="D109" s="1">
        <v>0.54900000000000004</v>
      </c>
      <c r="E109" s="6"/>
    </row>
    <row r="110" spans="1:5" x14ac:dyDescent="0.35">
      <c r="A110" s="5">
        <v>2022</v>
      </c>
      <c r="B110" s="1" t="s">
        <v>24</v>
      </c>
      <c r="C110" s="12">
        <v>244458518</v>
      </c>
      <c r="D110" s="1">
        <v>0.53700000000000003</v>
      </c>
      <c r="E110" s="6"/>
    </row>
    <row r="111" spans="1:5" x14ac:dyDescent="0.35">
      <c r="A111" s="5">
        <v>2022</v>
      </c>
      <c r="B111" s="1" t="s">
        <v>26</v>
      </c>
      <c r="C111" s="12">
        <v>56197847</v>
      </c>
      <c r="D111" s="1">
        <v>0.38300000000000001</v>
      </c>
      <c r="E111" s="6"/>
    </row>
    <row r="112" spans="1:5" x14ac:dyDescent="0.35">
      <c r="A112" s="5">
        <v>2022</v>
      </c>
      <c r="B112" s="1" t="s">
        <v>27</v>
      </c>
      <c r="C112" s="11">
        <v>150035993</v>
      </c>
      <c r="D112" s="1">
        <v>0.42</v>
      </c>
      <c r="E112" s="6"/>
    </row>
    <row r="113" spans="1:5" x14ac:dyDescent="0.35">
      <c r="A113" s="5">
        <v>2022</v>
      </c>
      <c r="B113" s="1" t="s">
        <v>28</v>
      </c>
      <c r="C113" s="12">
        <v>98342073</v>
      </c>
      <c r="D113" s="1">
        <v>0.53100000000000003</v>
      </c>
      <c r="E113" s="6"/>
    </row>
    <row r="114" spans="1:5" x14ac:dyDescent="0.35">
      <c r="A114" s="5">
        <v>2022</v>
      </c>
      <c r="B114" s="1" t="s">
        <v>29</v>
      </c>
      <c r="C114" s="12">
        <v>211808993</v>
      </c>
      <c r="D114" s="1">
        <v>0.48099999999999998</v>
      </c>
      <c r="E114" s="6"/>
    </row>
    <row r="115" spans="1:5" x14ac:dyDescent="0.35">
      <c r="A115" s="5">
        <v>2022</v>
      </c>
      <c r="B115" s="1" t="s">
        <v>30</v>
      </c>
      <c r="C115" s="12">
        <v>115417321</v>
      </c>
      <c r="D115" s="1">
        <v>0.38300000000000001</v>
      </c>
      <c r="E115" s="6"/>
    </row>
    <row r="116" spans="1:5" x14ac:dyDescent="0.35">
      <c r="A116" s="5">
        <v>2022</v>
      </c>
      <c r="B116" s="1" t="s">
        <v>31</v>
      </c>
      <c r="C116" s="11">
        <v>140072825</v>
      </c>
      <c r="D116" s="1">
        <v>0.42</v>
      </c>
      <c r="E116" s="6"/>
    </row>
    <row r="117" spans="1:5" x14ac:dyDescent="0.35">
      <c r="A117" s="5">
        <v>2022</v>
      </c>
      <c r="B117" s="1" t="s">
        <v>32</v>
      </c>
      <c r="C117" s="12">
        <v>92613711</v>
      </c>
      <c r="D117" s="1">
        <v>0.40100000000000002</v>
      </c>
      <c r="E117" s="6"/>
    </row>
    <row r="118" spans="1:5" x14ac:dyDescent="0.35">
      <c r="A118" s="5">
        <v>2022</v>
      </c>
      <c r="B118" s="1" t="s">
        <v>33</v>
      </c>
      <c r="C118" s="11">
        <v>136248620</v>
      </c>
      <c r="D118" s="1">
        <v>0.40699999999999997</v>
      </c>
      <c r="E118" s="6"/>
    </row>
    <row r="119" spans="1:5" x14ac:dyDescent="0.35">
      <c r="A119" s="5">
        <v>2022</v>
      </c>
      <c r="B119" s="1" t="s">
        <v>34</v>
      </c>
      <c r="C119" s="12">
        <v>150363491</v>
      </c>
      <c r="D119" s="1">
        <v>0.48099999999999998</v>
      </c>
      <c r="E119" s="6"/>
    </row>
    <row r="120" spans="1:5" x14ac:dyDescent="0.35">
      <c r="A120" s="5">
        <v>2022</v>
      </c>
      <c r="B120" s="1" t="s">
        <v>35</v>
      </c>
      <c r="C120" s="12">
        <v>203203922</v>
      </c>
      <c r="D120" s="1">
        <v>0.5</v>
      </c>
      <c r="E120" s="6"/>
    </row>
    <row r="121" spans="1:5" x14ac:dyDescent="0.35">
      <c r="A121" s="5">
        <v>2022</v>
      </c>
      <c r="B121" s="1" t="s">
        <v>36</v>
      </c>
      <c r="C121" s="11">
        <v>252957200</v>
      </c>
      <c r="D121" s="1">
        <v>0.61099999999999999</v>
      </c>
      <c r="E121" s="6"/>
    </row>
    <row r="122" spans="1:5" x14ac:dyDescent="0.35">
      <c r="A122" s="5">
        <v>2021</v>
      </c>
      <c r="B122" s="1" t="s">
        <v>6</v>
      </c>
      <c r="C122" s="11">
        <v>183849560</v>
      </c>
      <c r="D122" s="1">
        <v>0.47499999999999998</v>
      </c>
      <c r="E122" s="6"/>
    </row>
    <row r="123" spans="1:5" x14ac:dyDescent="0.35">
      <c r="A123" s="5">
        <v>2021</v>
      </c>
      <c r="B123" s="1" t="s">
        <v>7</v>
      </c>
      <c r="C123" s="12">
        <v>194222042</v>
      </c>
      <c r="D123" s="1">
        <v>0.58599999999999997</v>
      </c>
      <c r="E123" s="6"/>
    </row>
    <row r="124" spans="1:5" x14ac:dyDescent="0.35">
      <c r="A124" s="5">
        <v>2021</v>
      </c>
      <c r="B124" s="1" t="s">
        <v>8</v>
      </c>
      <c r="C124" s="11">
        <v>90400598</v>
      </c>
      <c r="D124" s="1">
        <v>0.53100000000000003</v>
      </c>
      <c r="E124" s="6"/>
    </row>
    <row r="125" spans="1:5" x14ac:dyDescent="0.35">
      <c r="A125" s="5">
        <v>2021</v>
      </c>
      <c r="B125" s="1" t="s">
        <v>9</v>
      </c>
      <c r="C125" s="11">
        <v>150140253</v>
      </c>
      <c r="D125" s="1">
        <v>0.56200000000000006</v>
      </c>
      <c r="E125" s="6"/>
    </row>
    <row r="126" spans="1:5" x14ac:dyDescent="0.35">
      <c r="A126" s="5">
        <v>2021</v>
      </c>
      <c r="B126" s="1" t="s">
        <v>10</v>
      </c>
      <c r="C126" s="12">
        <v>152753755</v>
      </c>
      <c r="D126" s="1">
        <v>0.54700000000000004</v>
      </c>
      <c r="E126" s="6"/>
    </row>
    <row r="127" spans="1:5" x14ac:dyDescent="0.35">
      <c r="A127" s="5">
        <v>2021</v>
      </c>
      <c r="B127" s="1" t="s">
        <v>11</v>
      </c>
      <c r="C127" s="12">
        <v>99377415</v>
      </c>
      <c r="D127" s="1">
        <v>0.58599999999999997</v>
      </c>
      <c r="E127" s="6"/>
    </row>
    <row r="128" spans="1:5" x14ac:dyDescent="0.35">
      <c r="A128" s="5">
        <v>2021</v>
      </c>
      <c r="B128" s="1" t="s">
        <v>12</v>
      </c>
      <c r="C128" s="12">
        <v>151469994</v>
      </c>
      <c r="D128" s="1">
        <v>0.55600000000000005</v>
      </c>
      <c r="E128" s="6"/>
    </row>
    <row r="129" spans="1:5" x14ac:dyDescent="0.35">
      <c r="A129" s="5">
        <v>2021</v>
      </c>
      <c r="B129" s="1" t="s">
        <v>13</v>
      </c>
      <c r="C129" s="12">
        <v>144040237</v>
      </c>
      <c r="D129" s="1">
        <v>0.438</v>
      </c>
      <c r="E129" s="6"/>
    </row>
    <row r="130" spans="1:5" x14ac:dyDescent="0.35">
      <c r="A130" s="5">
        <v>2021</v>
      </c>
      <c r="B130" s="1" t="s">
        <v>14</v>
      </c>
      <c r="C130" s="11">
        <v>91636935</v>
      </c>
      <c r="D130" s="1">
        <v>0.32100000000000001</v>
      </c>
      <c r="E130" s="6"/>
    </row>
    <row r="131" spans="1:5" x14ac:dyDescent="0.35">
      <c r="A131" s="5">
        <v>2021</v>
      </c>
      <c r="B131" s="1" t="s">
        <v>15</v>
      </c>
      <c r="C131" s="9">
        <v>261320507</v>
      </c>
      <c r="D131" s="1">
        <v>0.65400000000000003</v>
      </c>
      <c r="E131" s="6"/>
    </row>
    <row r="132" spans="1:5" x14ac:dyDescent="0.35">
      <c r="A132" s="5">
        <v>2021</v>
      </c>
      <c r="B132" s="1" t="s">
        <v>16</v>
      </c>
      <c r="C132" s="12">
        <v>171890308</v>
      </c>
      <c r="D132" s="1">
        <v>0.66</v>
      </c>
      <c r="E132" s="6"/>
    </row>
    <row r="133" spans="1:5" x14ac:dyDescent="0.35">
      <c r="A133" s="5">
        <v>2021</v>
      </c>
      <c r="B133" s="1" t="s">
        <v>17</v>
      </c>
      <c r="C133" s="11">
        <v>50670534</v>
      </c>
      <c r="D133" s="1">
        <v>0.49399999999999999</v>
      </c>
      <c r="E133" s="6"/>
    </row>
    <row r="134" spans="1:5" x14ac:dyDescent="0.35">
      <c r="A134" s="5">
        <v>2021</v>
      </c>
      <c r="B134" s="1" t="s">
        <v>18</v>
      </c>
      <c r="C134" s="12">
        <v>83822113</v>
      </c>
      <c r="D134" s="1">
        <v>0.55600000000000005</v>
      </c>
      <c r="E134" s="6"/>
    </row>
    <row r="135" spans="1:5" x14ac:dyDescent="0.35">
      <c r="A135" s="5">
        <v>2021</v>
      </c>
      <c r="B135" s="1" t="s">
        <v>19</v>
      </c>
      <c r="C135" s="11">
        <v>58157900</v>
      </c>
      <c r="D135" s="1">
        <v>0.41399999999999998</v>
      </c>
      <c r="E135" s="6"/>
    </row>
    <row r="136" spans="1:5" x14ac:dyDescent="0.35">
      <c r="A136" s="5">
        <v>2021</v>
      </c>
      <c r="B136" s="1" t="s">
        <v>20</v>
      </c>
      <c r="C136" s="11">
        <v>201189189</v>
      </c>
      <c r="D136" s="1">
        <v>0.47499999999999998</v>
      </c>
      <c r="E136" s="6"/>
    </row>
    <row r="137" spans="1:5" x14ac:dyDescent="0.35">
      <c r="A137" s="5">
        <v>2021</v>
      </c>
      <c r="B137" s="1" t="s">
        <v>21</v>
      </c>
      <c r="C137" s="12">
        <v>144023139</v>
      </c>
      <c r="D137" s="1">
        <v>0.40100000000000002</v>
      </c>
      <c r="E137" s="6"/>
    </row>
    <row r="138" spans="1:5" x14ac:dyDescent="0.35">
      <c r="A138" s="5">
        <v>2021</v>
      </c>
      <c r="B138" s="1" t="s">
        <v>22</v>
      </c>
      <c r="C138" s="11">
        <v>42421870</v>
      </c>
      <c r="D138" s="1">
        <v>0.307</v>
      </c>
      <c r="E138" s="6"/>
    </row>
    <row r="139" spans="1:5" x14ac:dyDescent="0.35">
      <c r="A139" s="5">
        <v>2021</v>
      </c>
      <c r="B139" s="1" t="s">
        <v>23</v>
      </c>
      <c r="C139" s="12">
        <v>179767122</v>
      </c>
      <c r="D139" s="1">
        <v>0.48799999999999999</v>
      </c>
      <c r="E139" s="6"/>
    </row>
    <row r="140" spans="1:5" x14ac:dyDescent="0.35">
      <c r="A140" s="5">
        <v>2021</v>
      </c>
      <c r="B140" s="1" t="s">
        <v>24</v>
      </c>
      <c r="C140" s="12">
        <v>190519366</v>
      </c>
      <c r="D140" s="1">
        <v>0.50600000000000001</v>
      </c>
      <c r="E140" s="6"/>
    </row>
    <row r="141" spans="1:5" x14ac:dyDescent="0.35">
      <c r="A141" s="5">
        <v>2021</v>
      </c>
      <c r="B141" s="1" t="s">
        <v>26</v>
      </c>
      <c r="C141" s="12">
        <v>54356609</v>
      </c>
      <c r="D141" s="1">
        <v>0.377</v>
      </c>
      <c r="E141" s="6"/>
    </row>
    <row r="142" spans="1:5" x14ac:dyDescent="0.35">
      <c r="A142" s="5">
        <v>2021</v>
      </c>
      <c r="B142" s="1" t="s">
        <v>27</v>
      </c>
      <c r="C142" s="11">
        <v>95791911</v>
      </c>
      <c r="D142" s="1">
        <v>0.37</v>
      </c>
      <c r="E142" s="6"/>
    </row>
    <row r="143" spans="1:5" x14ac:dyDescent="0.35">
      <c r="A143" s="5">
        <v>2021</v>
      </c>
      <c r="B143" s="1" t="s">
        <v>28</v>
      </c>
      <c r="C143" s="11">
        <v>70836327</v>
      </c>
      <c r="D143" s="1">
        <v>0.61699999999999999</v>
      </c>
      <c r="E143" s="6"/>
    </row>
    <row r="144" spans="1:5" x14ac:dyDescent="0.35">
      <c r="A144" s="5">
        <v>2021</v>
      </c>
      <c r="B144" s="1" t="s">
        <v>29</v>
      </c>
      <c r="C144" s="12">
        <v>187100784</v>
      </c>
      <c r="D144" s="1">
        <v>0.56799999999999995</v>
      </c>
      <c r="E144" s="6"/>
    </row>
    <row r="145" spans="1:5" x14ac:dyDescent="0.35">
      <c r="A145" s="5">
        <v>2021</v>
      </c>
      <c r="B145" s="1" t="s">
        <v>30</v>
      </c>
      <c r="C145" s="12">
        <v>126608690</v>
      </c>
      <c r="D145" s="1">
        <v>0.51200000000000001</v>
      </c>
      <c r="E145" s="6"/>
    </row>
    <row r="146" spans="1:5" x14ac:dyDescent="0.35">
      <c r="A146" s="5">
        <v>2021</v>
      </c>
      <c r="B146" s="1" t="s">
        <v>31</v>
      </c>
      <c r="C146" s="11">
        <v>116285650</v>
      </c>
      <c r="D146" s="1">
        <v>0.46</v>
      </c>
      <c r="E146" s="6"/>
    </row>
    <row r="147" spans="1:5" x14ac:dyDescent="0.35">
      <c r="A147" s="5">
        <v>2021</v>
      </c>
      <c r="B147" s="1" t="s">
        <v>32</v>
      </c>
      <c r="C147" s="11">
        <v>91595545</v>
      </c>
      <c r="D147" s="1">
        <v>0.45700000000000002</v>
      </c>
      <c r="E147" s="6"/>
    </row>
    <row r="148" spans="1:5" x14ac:dyDescent="0.35">
      <c r="A148" s="5">
        <v>2021</v>
      </c>
      <c r="B148" s="1" t="s">
        <v>33</v>
      </c>
      <c r="C148" s="9">
        <v>86348945</v>
      </c>
      <c r="D148" s="1">
        <v>0.47499999999999998</v>
      </c>
      <c r="E148" s="6"/>
    </row>
    <row r="149" spans="1:5" x14ac:dyDescent="0.35">
      <c r="A149" s="5">
        <v>2021</v>
      </c>
      <c r="B149" s="1" t="s">
        <v>34</v>
      </c>
      <c r="C149" s="11">
        <v>121417939</v>
      </c>
      <c r="D149" s="1">
        <v>0.45100000000000001</v>
      </c>
      <c r="E149" s="6"/>
    </row>
    <row r="150" spans="1:5" x14ac:dyDescent="0.35">
      <c r="A150" s="5">
        <v>2021</v>
      </c>
      <c r="B150" s="1" t="s">
        <v>35</v>
      </c>
      <c r="C150" s="12">
        <v>140926169</v>
      </c>
      <c r="D150" s="1">
        <v>0.57399999999999995</v>
      </c>
      <c r="E150" s="6"/>
    </row>
    <row r="151" spans="1:5" x14ac:dyDescent="0.35">
      <c r="A151" s="5">
        <v>2021</v>
      </c>
      <c r="B151" s="1" t="s">
        <v>36</v>
      </c>
      <c r="C151" s="12">
        <v>205669863</v>
      </c>
      <c r="D151" s="1">
        <v>0.56799999999999995</v>
      </c>
      <c r="E151" s="6"/>
    </row>
    <row r="153" spans="1:5" x14ac:dyDescent="0.35">
      <c r="D153" s="13"/>
    </row>
    <row r="154" spans="1:5" x14ac:dyDescent="0.35">
      <c r="C154" t="s">
        <v>37</v>
      </c>
      <c r="D154" s="13">
        <f>AVERAGE(C1:C151)</f>
        <v>158813159.08000001</v>
      </c>
      <c r="E154" s="15">
        <f>AVERAGE(D1:D151)</f>
        <v>0.49981333333333294</v>
      </c>
    </row>
    <row r="155" spans="1:5" x14ac:dyDescent="0.35">
      <c r="C155" t="s">
        <v>38</v>
      </c>
      <c r="D155" s="13">
        <f>MIN(C1:C151)</f>
        <v>42421870</v>
      </c>
      <c r="E155">
        <f>MIN(D1:D151)</f>
        <v>0.253</v>
      </c>
    </row>
    <row r="156" spans="1:5" x14ac:dyDescent="0.35">
      <c r="C156" t="s">
        <v>39</v>
      </c>
      <c r="D156" s="13">
        <f>MAX(C1:C151)</f>
        <v>350024106</v>
      </c>
      <c r="E156">
        <f>MAX(D1:D151)</f>
        <v>0.68500000000000005</v>
      </c>
    </row>
    <row r="157" spans="1:5" x14ac:dyDescent="0.35">
      <c r="C157" t="s">
        <v>40</v>
      </c>
      <c r="D157" s="13">
        <f>STDEV(C1:C151)</f>
        <v>69324899.876474798</v>
      </c>
      <c r="E157">
        <f>STDEV(D1:D151)</f>
        <v>8.005303499326806E-2</v>
      </c>
    </row>
    <row r="158" spans="1:5" x14ac:dyDescent="0.35">
      <c r="D158" s="13"/>
    </row>
    <row r="159" spans="1:5" x14ac:dyDescent="0.35">
      <c r="D159" s="13"/>
    </row>
    <row r="160" spans="1:5" x14ac:dyDescent="0.35">
      <c r="D160" s="13"/>
    </row>
    <row r="161" spans="4:4" x14ac:dyDescent="0.35">
      <c r="D161" s="13"/>
    </row>
    <row r="162" spans="4:4" x14ac:dyDescent="0.35">
      <c r="D162" s="13"/>
    </row>
    <row r="163" spans="4:4" x14ac:dyDescent="0.35">
      <c r="D163" s="13"/>
    </row>
    <row r="164" spans="4:4" x14ac:dyDescent="0.35">
      <c r="D164" s="13"/>
    </row>
    <row r="165" spans="4:4" x14ac:dyDescent="0.35">
      <c r="D165" s="13"/>
    </row>
    <row r="166" spans="4:4" x14ac:dyDescent="0.35">
      <c r="D166" s="13"/>
    </row>
    <row r="167" spans="4:4" x14ac:dyDescent="0.35">
      <c r="D167" s="13"/>
    </row>
    <row r="168" spans="4:4" x14ac:dyDescent="0.35">
      <c r="D168" s="13"/>
    </row>
    <row r="169" spans="4:4" x14ac:dyDescent="0.35">
      <c r="D169" s="13"/>
    </row>
    <row r="170" spans="4:4" x14ac:dyDescent="0.35">
      <c r="D170" s="13"/>
    </row>
    <row r="171" spans="4:4" x14ac:dyDescent="0.35">
      <c r="D171" s="13"/>
    </row>
    <row r="172" spans="4:4" x14ac:dyDescent="0.35">
      <c r="D172" s="13"/>
    </row>
    <row r="173" spans="4:4" x14ac:dyDescent="0.35">
      <c r="D173" s="13"/>
    </row>
    <row r="174" spans="4:4" x14ac:dyDescent="0.35">
      <c r="D174" s="13"/>
    </row>
    <row r="175" spans="4:4" x14ac:dyDescent="0.35">
      <c r="D175" s="13"/>
    </row>
    <row r="176" spans="4:4" x14ac:dyDescent="0.35">
      <c r="D176" s="13"/>
    </row>
    <row r="177" spans="4:4" x14ac:dyDescent="0.35">
      <c r="D177" s="13"/>
    </row>
    <row r="178" spans="4:4" x14ac:dyDescent="0.35">
      <c r="D178" s="13"/>
    </row>
    <row r="179" spans="4:4" x14ac:dyDescent="0.35">
      <c r="D179" s="13"/>
    </row>
    <row r="180" spans="4:4" x14ac:dyDescent="0.35">
      <c r="D180" s="13"/>
    </row>
    <row r="181" spans="4:4" x14ac:dyDescent="0.35">
      <c r="D181" s="13"/>
    </row>
    <row r="182" spans="4:4" x14ac:dyDescent="0.35">
      <c r="D182" s="13"/>
    </row>
    <row r="183" spans="4:4" x14ac:dyDescent="0.35">
      <c r="D183" s="13"/>
    </row>
    <row r="184" spans="4:4" x14ac:dyDescent="0.35">
      <c r="D184" s="13"/>
    </row>
    <row r="185" spans="4:4" x14ac:dyDescent="0.35">
      <c r="D185" s="13"/>
    </row>
    <row r="186" spans="4:4" x14ac:dyDescent="0.35">
      <c r="D186" s="13"/>
    </row>
    <row r="187" spans="4:4" x14ac:dyDescent="0.35">
      <c r="D187" s="13"/>
    </row>
    <row r="188" spans="4:4" x14ac:dyDescent="0.35">
      <c r="D188" s="13"/>
    </row>
    <row r="189" spans="4:4" x14ac:dyDescent="0.35">
      <c r="D189" s="13"/>
    </row>
    <row r="190" spans="4:4" x14ac:dyDescent="0.35">
      <c r="D190" s="13"/>
    </row>
    <row r="191" spans="4:4" x14ac:dyDescent="0.35">
      <c r="D191" s="13"/>
    </row>
    <row r="192" spans="4:4" x14ac:dyDescent="0.35">
      <c r="D192" s="13"/>
    </row>
    <row r="193" spans="4:4" x14ac:dyDescent="0.35">
      <c r="D193" s="13"/>
    </row>
    <row r="194" spans="4:4" x14ac:dyDescent="0.35">
      <c r="D194" s="13"/>
    </row>
    <row r="195" spans="4:4" x14ac:dyDescent="0.35">
      <c r="D195" s="13"/>
    </row>
    <row r="196" spans="4:4" x14ac:dyDescent="0.35">
      <c r="D196" s="13"/>
    </row>
    <row r="197" spans="4:4" x14ac:dyDescent="0.35">
      <c r="D197" s="13"/>
    </row>
    <row r="198" spans="4:4" x14ac:dyDescent="0.35">
      <c r="D198" s="13"/>
    </row>
    <row r="199" spans="4:4" x14ac:dyDescent="0.35">
      <c r="D199" s="13"/>
    </row>
    <row r="200" spans="4:4" x14ac:dyDescent="0.35">
      <c r="D200" s="13"/>
    </row>
    <row r="201" spans="4:4" x14ac:dyDescent="0.35">
      <c r="D201" s="13"/>
    </row>
    <row r="202" spans="4:4" x14ac:dyDescent="0.35">
      <c r="D202" s="13"/>
    </row>
    <row r="203" spans="4:4" x14ac:dyDescent="0.35">
      <c r="D203" s="13"/>
    </row>
    <row r="204" spans="4:4" x14ac:dyDescent="0.35">
      <c r="D204" s="13"/>
    </row>
    <row r="205" spans="4:4" x14ac:dyDescent="0.35">
      <c r="D205" s="13"/>
    </row>
    <row r="206" spans="4:4" x14ac:dyDescent="0.35">
      <c r="D206" s="13"/>
    </row>
    <row r="207" spans="4:4" x14ac:dyDescent="0.35">
      <c r="D207" s="13"/>
    </row>
    <row r="208" spans="4:4" x14ac:dyDescent="0.35">
      <c r="D208" s="13"/>
    </row>
    <row r="209" spans="4:4" x14ac:dyDescent="0.35">
      <c r="D209" s="13"/>
    </row>
    <row r="210" spans="4:4" x14ac:dyDescent="0.35">
      <c r="D210" s="13"/>
    </row>
    <row r="211" spans="4:4" x14ac:dyDescent="0.35">
      <c r="D211" s="13"/>
    </row>
    <row r="212" spans="4:4" x14ac:dyDescent="0.35">
      <c r="D212" s="13"/>
    </row>
    <row r="213" spans="4:4" x14ac:dyDescent="0.35">
      <c r="D213" s="13"/>
    </row>
    <row r="214" spans="4:4" x14ac:dyDescent="0.35">
      <c r="D214" s="13"/>
    </row>
    <row r="215" spans="4:4" x14ac:dyDescent="0.35">
      <c r="D215" s="13"/>
    </row>
    <row r="216" spans="4:4" x14ac:dyDescent="0.35">
      <c r="D216" s="13"/>
    </row>
    <row r="217" spans="4:4" x14ac:dyDescent="0.35">
      <c r="D217" s="13"/>
    </row>
    <row r="218" spans="4:4" x14ac:dyDescent="0.35">
      <c r="D218" s="13"/>
    </row>
    <row r="219" spans="4:4" x14ac:dyDescent="0.35">
      <c r="D219" s="13"/>
    </row>
    <row r="220" spans="4:4" x14ac:dyDescent="0.35">
      <c r="D220" s="13"/>
    </row>
    <row r="221" spans="4:4" x14ac:dyDescent="0.35">
      <c r="D221" s="13"/>
    </row>
    <row r="222" spans="4:4" x14ac:dyDescent="0.35">
      <c r="D222" s="13"/>
    </row>
    <row r="223" spans="4:4" x14ac:dyDescent="0.35">
      <c r="D223" s="13"/>
    </row>
    <row r="224" spans="4:4" x14ac:dyDescent="0.35">
      <c r="D224" s="13"/>
    </row>
    <row r="225" spans="4:4" x14ac:dyDescent="0.35">
      <c r="D225" s="13"/>
    </row>
    <row r="226" spans="4:4" x14ac:dyDescent="0.35">
      <c r="D226" s="13"/>
    </row>
    <row r="227" spans="4:4" x14ac:dyDescent="0.35">
      <c r="D227" s="13"/>
    </row>
    <row r="228" spans="4:4" x14ac:dyDescent="0.35">
      <c r="D228" s="13"/>
    </row>
    <row r="229" spans="4:4" x14ac:dyDescent="0.35">
      <c r="D229" s="13"/>
    </row>
    <row r="230" spans="4:4" x14ac:dyDescent="0.35">
      <c r="D230" s="13"/>
    </row>
    <row r="231" spans="4:4" x14ac:dyDescent="0.35">
      <c r="D231" s="13"/>
    </row>
    <row r="232" spans="4:4" x14ac:dyDescent="0.35">
      <c r="D232" s="13"/>
    </row>
    <row r="233" spans="4:4" x14ac:dyDescent="0.35">
      <c r="D233" s="13"/>
    </row>
    <row r="234" spans="4:4" x14ac:dyDescent="0.35">
      <c r="D234" s="13"/>
    </row>
    <row r="235" spans="4:4" x14ac:dyDescent="0.35">
      <c r="D235" s="13"/>
    </row>
    <row r="236" spans="4:4" x14ac:dyDescent="0.35">
      <c r="D236" s="13"/>
    </row>
    <row r="237" spans="4:4" x14ac:dyDescent="0.35">
      <c r="D237" s="13"/>
    </row>
    <row r="238" spans="4:4" x14ac:dyDescent="0.35">
      <c r="D238" s="13"/>
    </row>
    <row r="239" spans="4:4" x14ac:dyDescent="0.35">
      <c r="D239" s="13"/>
    </row>
    <row r="240" spans="4:4" x14ac:dyDescent="0.35">
      <c r="D240" s="13"/>
    </row>
    <row r="241" spans="4:4" x14ac:dyDescent="0.35">
      <c r="D241" s="13"/>
    </row>
    <row r="242" spans="4:4" x14ac:dyDescent="0.35">
      <c r="D242" s="13"/>
    </row>
    <row r="243" spans="4:4" x14ac:dyDescent="0.35">
      <c r="D243" s="13"/>
    </row>
    <row r="244" spans="4:4" x14ac:dyDescent="0.35">
      <c r="D244" s="13"/>
    </row>
    <row r="245" spans="4:4" x14ac:dyDescent="0.35">
      <c r="D245" s="13"/>
    </row>
    <row r="246" spans="4:4" x14ac:dyDescent="0.35">
      <c r="D246" s="13"/>
    </row>
    <row r="247" spans="4:4" x14ac:dyDescent="0.35">
      <c r="D247" s="13"/>
    </row>
    <row r="248" spans="4:4" x14ac:dyDescent="0.35">
      <c r="D248" s="13"/>
    </row>
    <row r="249" spans="4:4" x14ac:dyDescent="0.35">
      <c r="D249" s="13"/>
    </row>
    <row r="250" spans="4:4" x14ac:dyDescent="0.35">
      <c r="D250" s="13"/>
    </row>
    <row r="251" spans="4:4" x14ac:dyDescent="0.35">
      <c r="D251" s="13"/>
    </row>
    <row r="252" spans="4:4" x14ac:dyDescent="0.35">
      <c r="D252" s="13"/>
    </row>
    <row r="253" spans="4:4" x14ac:dyDescent="0.35">
      <c r="D253" s="13"/>
    </row>
    <row r="254" spans="4:4" x14ac:dyDescent="0.35">
      <c r="D254" s="13"/>
    </row>
    <row r="255" spans="4:4" x14ac:dyDescent="0.35">
      <c r="D255" s="13"/>
    </row>
    <row r="256" spans="4:4" x14ac:dyDescent="0.35">
      <c r="D256" s="13"/>
    </row>
    <row r="257" spans="4:4" x14ac:dyDescent="0.35">
      <c r="D257" s="13"/>
    </row>
    <row r="258" spans="4:4" x14ac:dyDescent="0.35">
      <c r="D258" s="13"/>
    </row>
    <row r="259" spans="4:4" x14ac:dyDescent="0.35">
      <c r="D259" s="13"/>
    </row>
    <row r="260" spans="4:4" x14ac:dyDescent="0.35">
      <c r="D260" s="13"/>
    </row>
    <row r="261" spans="4:4" x14ac:dyDescent="0.35">
      <c r="D261" s="13"/>
    </row>
    <row r="262" spans="4:4" x14ac:dyDescent="0.35">
      <c r="D262" s="13"/>
    </row>
    <row r="263" spans="4:4" x14ac:dyDescent="0.35">
      <c r="D263" s="13"/>
    </row>
    <row r="264" spans="4:4" x14ac:dyDescent="0.35">
      <c r="D264" s="13"/>
    </row>
    <row r="265" spans="4:4" x14ac:dyDescent="0.35">
      <c r="D265" s="13"/>
    </row>
    <row r="266" spans="4:4" x14ac:dyDescent="0.35">
      <c r="D266" s="13"/>
    </row>
    <row r="267" spans="4:4" x14ac:dyDescent="0.35">
      <c r="D267" s="13"/>
    </row>
    <row r="268" spans="4:4" x14ac:dyDescent="0.35">
      <c r="D268" s="13"/>
    </row>
    <row r="269" spans="4:4" x14ac:dyDescent="0.35">
      <c r="D269" s="13"/>
    </row>
    <row r="270" spans="4:4" x14ac:dyDescent="0.35">
      <c r="D270" s="13"/>
    </row>
    <row r="271" spans="4:4" x14ac:dyDescent="0.35">
      <c r="D271" s="13"/>
    </row>
    <row r="272" spans="4:4" x14ac:dyDescent="0.35">
      <c r="D272" s="13"/>
    </row>
    <row r="273" spans="4:4" x14ac:dyDescent="0.35">
      <c r="D273" s="13"/>
    </row>
    <row r="274" spans="4:4" x14ac:dyDescent="0.35">
      <c r="D274" s="13"/>
    </row>
    <row r="275" spans="4:4" x14ac:dyDescent="0.35">
      <c r="D275" s="13"/>
    </row>
    <row r="276" spans="4:4" x14ac:dyDescent="0.35">
      <c r="D276" s="13"/>
    </row>
    <row r="277" spans="4:4" x14ac:dyDescent="0.35">
      <c r="D277" s="13"/>
    </row>
    <row r="278" spans="4:4" x14ac:dyDescent="0.35">
      <c r="D278" s="13"/>
    </row>
    <row r="279" spans="4:4" x14ac:dyDescent="0.35">
      <c r="D279" s="13"/>
    </row>
    <row r="280" spans="4:4" x14ac:dyDescent="0.35">
      <c r="D280" s="13"/>
    </row>
    <row r="281" spans="4:4" x14ac:dyDescent="0.35">
      <c r="D281" s="13"/>
    </row>
    <row r="282" spans="4:4" x14ac:dyDescent="0.35">
      <c r="D282" s="13"/>
    </row>
    <row r="283" spans="4:4" x14ac:dyDescent="0.35">
      <c r="D283" s="13"/>
    </row>
    <row r="284" spans="4:4" x14ac:dyDescent="0.35">
      <c r="D284" s="13"/>
    </row>
    <row r="285" spans="4:4" x14ac:dyDescent="0.35">
      <c r="D285" s="13"/>
    </row>
    <row r="286" spans="4:4" x14ac:dyDescent="0.35">
      <c r="D286" s="13"/>
    </row>
    <row r="287" spans="4:4" x14ac:dyDescent="0.35">
      <c r="D287" s="13"/>
    </row>
    <row r="288" spans="4:4" x14ac:dyDescent="0.35">
      <c r="D288" s="13"/>
    </row>
    <row r="289" spans="4:4" x14ac:dyDescent="0.35">
      <c r="D289" s="13"/>
    </row>
    <row r="290" spans="4:4" x14ac:dyDescent="0.35">
      <c r="D290" s="13"/>
    </row>
    <row r="291" spans="4:4" x14ac:dyDescent="0.35">
      <c r="D291" s="13"/>
    </row>
    <row r="292" spans="4:4" x14ac:dyDescent="0.35">
      <c r="D292" s="13"/>
    </row>
    <row r="293" spans="4:4" x14ac:dyDescent="0.35">
      <c r="D293" s="13"/>
    </row>
    <row r="294" spans="4:4" x14ac:dyDescent="0.35">
      <c r="D294" s="13"/>
    </row>
    <row r="295" spans="4:4" x14ac:dyDescent="0.35">
      <c r="D295" s="13"/>
    </row>
    <row r="296" spans="4:4" x14ac:dyDescent="0.35">
      <c r="D296" s="13"/>
    </row>
    <row r="297" spans="4:4" x14ac:dyDescent="0.35">
      <c r="D297" s="13"/>
    </row>
    <row r="298" spans="4:4" x14ac:dyDescent="0.35">
      <c r="D298" s="13"/>
    </row>
    <row r="299" spans="4:4" x14ac:dyDescent="0.35">
      <c r="D299" s="13"/>
    </row>
    <row r="300" spans="4:4" x14ac:dyDescent="0.35">
      <c r="D300" s="13"/>
    </row>
    <row r="301" spans="4:4" x14ac:dyDescent="0.35">
      <c r="D301" s="13"/>
    </row>
    <row r="302" spans="4:4" x14ac:dyDescent="0.35">
      <c r="D302" s="13"/>
    </row>
  </sheetData>
  <sortState xmlns:xlrd2="http://schemas.microsoft.com/office/spreadsheetml/2017/richdata2" ref="B2:B31">
    <sortCondition ref="B2:B31"/>
  </sortState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2197aa-7cb0-401a-9b52-175638d1bd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722E3789BE84CA7B2173697520533" ma:contentTypeVersion="8" ma:contentTypeDescription="Create a new document." ma:contentTypeScope="" ma:versionID="2e3f46a0c746b48fa0106094cda965ab">
  <xsd:schema xmlns:xsd="http://www.w3.org/2001/XMLSchema" xmlns:xs="http://www.w3.org/2001/XMLSchema" xmlns:p="http://schemas.microsoft.com/office/2006/metadata/properties" xmlns:ns3="b92197aa-7cb0-401a-9b52-175638d1bd48" xmlns:ns4="dd0d6c8e-0930-4261-b175-fc09897ee213" targetNamespace="http://schemas.microsoft.com/office/2006/metadata/properties" ma:root="true" ma:fieldsID="c2531cd18429bd127c4e2439f8b1079a" ns3:_="" ns4:_="">
    <xsd:import namespace="b92197aa-7cb0-401a-9b52-175638d1bd48"/>
    <xsd:import namespace="dd0d6c8e-0930-4261-b175-fc09897ee2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197aa-7cb0-401a-9b52-175638d1bd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d6c8e-0930-4261-b175-fc09897ee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EEB5A9-308B-4B92-ABC4-3BD132442C85}">
  <ds:schemaRefs>
    <ds:schemaRef ds:uri="http://purl.org/dc/terms/"/>
    <ds:schemaRef ds:uri="b92197aa-7cb0-401a-9b52-175638d1bd48"/>
    <ds:schemaRef ds:uri="http://purl.org/dc/dcmitype/"/>
    <ds:schemaRef ds:uri="http://schemas.microsoft.com/office/2006/metadata/properties"/>
    <ds:schemaRef ds:uri="dd0d6c8e-0930-4261-b175-fc09897ee21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BB29D0E-FE75-4D46-9AC4-971E4A7ED0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2197aa-7cb0-401a-9b52-175638d1bd48"/>
    <ds:schemaRef ds:uri="dd0d6c8e-0930-4261-b175-fc09897ee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78CBCB-B298-44C4-8D30-06AC562EB01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Reardon, Kyle</dc:creator>
  <cp:keywords/>
  <dc:description/>
  <cp:lastModifiedBy>Reardon, Kyle</cp:lastModifiedBy>
  <cp:revision/>
  <dcterms:created xsi:type="dcterms:W3CDTF">2025-11-20T20:24:34Z</dcterms:created>
  <dcterms:modified xsi:type="dcterms:W3CDTF">2025-12-12T17:08:40Z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0x0101006E2722E3789BE84CA7B2173697520533</vt:lpwstr>
  </property>
</Properties>
</file>